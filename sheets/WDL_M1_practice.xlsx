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01 Headlines" sheetId="2" state="visible" r:id="rId4"/>
    <sheet name="S02 Volumes" sheetId="3" state="visible" r:id="rId5"/>
    <sheet name="S03 Rain Gauge" sheetId="4" state="visible" r:id="rId6"/>
    <sheet name="S04 River Gauge" sheetId="5" state="visible" r:id="rId7"/>
    <sheet name="S05 District Card" sheetId="6" state="visible" r:id="rId8"/>
    <sheet name="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<sst xmlns="http://schemas.openxmlformats.org/spreadsheetml/2006/main" count="157" uniqueCount="129">
  <si>
    <t xml:space="preserve">Module 1 · The Water Cycle as Data — Practice workbook</t>
  </si>
  <si>
    <t xml:space="preserve">Hydroinformatics in a Changing Climate: Water Data Literacy for All · CuX, CHRIST (Deemed to be University)</t>
  </si>
  <si>
    <t xml:space="preserve">How to use this workbook</t>
  </si>
  <si>
    <t xml:space="preserve">This is the spreadsheet version of the Module 1 practice activities. It matches the Colab practice notebooks: same data, same questions, same answers.</t>
  </si>
  <si>
    <t xml:space="preserve">1. Go to File → Make a copy so you have your own version.</t>
  </si>
  <si>
    <t xml:space="preserve">2. Each tab is one session: S01 to S04 are practice activities, S05 is the workshop.</t>
  </si>
  <si>
    <t xml:space="preserve">3. Type or choose your answers in the YELLOW cells. The CHECK column tells you if you are right (✓) or should try again (✗).</t>
  </si>
  <si>
    <t xml:space="preserve">4. The Data tab holds the sample station record. Charts and totals are calculated from it with formulas.</t>
  </si>
  <si>
    <t xml:space="preserve">About the data</t>
  </si>
  <si>
    <t xml:space="preserve">The sample station is ILLUSTRATIVE, SYNTHETIC data for practice, not an official IMD or CWC record. In Module 2 you will download real data for your own district.</t>
  </si>
  <si>
    <t xml:space="preserve">Session 1 · What was measured?</t>
  </si>
  <si>
    <t xml:space="preserve">Choose the kind of water number each example headline reports.</t>
  </si>
  <si>
    <t xml:space="preserve">#</t>
  </si>
  <si>
    <t xml:space="preserve">Headline (example)</t>
  </si>
  <si>
    <t xml:space="preserve">Your answer</t>
  </si>
  <si>
    <t xml:space="preserve">Check</t>
  </si>
  <si>
    <t xml:space="preserve">A</t>
  </si>
  <si>
    <t xml:space="preserve">Heavy rain: 87 mm recorded at the city observatory</t>
  </si>
  <si>
    <t xml:space="preserve">B</t>
  </si>
  <si>
    <t xml:space="preserve">Lake level drops 1.2 m in three months</t>
  </si>
  <si>
    <t xml:space="preserve">C</t>
  </si>
  <si>
    <t xml:space="preserve">Water board to cut supply from 900 MLD to 750 MLD</t>
  </si>
  <si>
    <t xml:space="preserve">D</t>
  </si>
  <si>
    <t xml:space="preserve">Monsoon 9% above normal so far</t>
  </si>
  <si>
    <t xml:space="preserve">E</t>
  </si>
  <si>
    <t xml:space="preserve">Dam outflow raised to 30,000 cusecs</t>
  </si>
  <si>
    <t xml:space="preserve">F</t>
  </si>
  <si>
    <t xml:space="preserve">Groundwater at 18 m below ground in summer</t>
  </si>
  <si>
    <t xml:space="preserve">Score (out of 6)</t>
  </si>
  <si>
    <t xml:space="preserve">Task 2</t>
  </si>
  <si>
    <t xml:space="preserve">Headline: "Reservoir storage at 42% of capacity". Which question does it answer least well?</t>
  </si>
  <si>
    <t xml:space="preserve">Session 2 · Rain is a volume; water units</t>
  </si>
  <si>
    <t xml:space="preserve">Work each one out, type your answer, and check. Answers within 2% count as correct.</t>
  </si>
  <si>
    <t xml:space="preserve">Question</t>
  </si>
  <si>
    <t xml:space="preserve">Hint</t>
  </si>
  <si>
    <t xml:space="preserve">Q1</t>
  </si>
  <si>
    <t xml:space="preserve">A 120 m² roof receives 65 mm of rain. How many litres fall on it?</t>
  </si>
  <si>
    <t xml:space="preserve">Depth (mm) × area (m²) = litres.</t>
  </si>
  <si>
    <t xml:space="preserve">Q2</t>
  </si>
  <si>
    <t xml:space="preserve">A 30 ha campus receives 40 mm of rain. How many m³ fall on it?</t>
  </si>
  <si>
    <t xml:space="preserve">1 ha = 10,000 m². Litres ÷ 1,000 = m³.</t>
  </si>
  <si>
    <t xml:space="preserve">Q3</t>
  </si>
  <si>
    <t xml:space="preserve">A reservoir releases 2 TMC. How many MCM is that?</t>
  </si>
  <si>
    <t xml:space="preserve">1 TMC ≈ 28.3 MCM.</t>
  </si>
  <si>
    <t xml:space="preserve">Q4</t>
  </si>
  <si>
    <t xml:space="preserve">A river flows at 250 m³/s for one day. How many MCM pass?</t>
  </si>
  <si>
    <t xml:space="preserve">Flow × 86,400 seconds = m³; ÷ 1,000,000 = MCM.</t>
  </si>
  <si>
    <t xml:space="preserve">Q5</t>
  </si>
  <si>
    <t xml:space="preserve">A dam releases 50,000 cusecs. What is this in m³/s?</t>
  </si>
  <si>
    <t xml:space="preserve">1 m³/s ≈ 35.3 cusecs.</t>
  </si>
  <si>
    <t xml:space="preserve">Q6</t>
  </si>
  <si>
    <t xml:space="preserve">A city uses 1,450 MLD. For how many days would 1 TMC last?</t>
  </si>
  <si>
    <t xml:space="preserve">1 TMC ≈ 28,317 million litres.</t>
  </si>
  <si>
    <t xml:space="preserve">Calculator: rain to volume</t>
  </si>
  <si>
    <t xml:space="preserve">Input</t>
  </si>
  <si>
    <t xml:space="preserve">Value</t>
  </si>
  <si>
    <t xml:space="preserve">Rainfall (mm)</t>
  </si>
  <si>
    <t xml:space="preserve">Area (m²)</t>
  </si>
  <si>
    <t xml:space="preserve">Volume (litres)</t>
  </si>
  <si>
    <t xml:space="preserve">Volume (MCM)</t>
  </si>
  <si>
    <t xml:space="preserve">Session 3 · Reading a rain gauge record</t>
  </si>
  <si>
    <t xml:space="preserve">Use the monthly table and the Data tab to answer. Rainy day = 2.5 mm or more (IMD).</t>
  </si>
  <si>
    <t xml:space="preserve">Month</t>
  </si>
  <si>
    <t xml:space="preserve">Rain (mm)</t>
  </si>
  <si>
    <t xml:space="preserve">Total rainfall in 2023 (mm)</t>
  </si>
  <si>
    <t xml:space="preserve">Jan</t>
  </si>
  <si>
    <t xml:space="preserve">Number of rainy days (2.5 mm or more)</t>
  </si>
  <si>
    <t xml:space="preserve">Feb</t>
  </si>
  <si>
    <t xml:space="preserve">Wettest month</t>
  </si>
  <si>
    <t xml:space="preserve">Mar</t>
  </si>
  <si>
    <t xml:space="preserve">% of the year's rain on the 10 wettest days</t>
  </si>
  <si>
    <t xml:space="preserve">Apr</t>
  </si>
  <si>
    <t xml:space="preserve">Season with the most rain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</si>
  <si>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</si>
  <si>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</si>
  <si>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</si>
  <si>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</si>
  <si>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</si>
  <si>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</si>
  <si>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</si>
  <si>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</si>
  <si>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</t>
  </si>
  <si>
    <t xml:space="preserve">Session 4 · Reading a river gauge record</t>
  </si>
  <si>
    <t xml:space="preserve">Warning level 3.6 m, danger level 4.2 m. Use the flood table on the right.</t>
  </si>
  <si>
    <t xml:space="preserve">Warning level (m)</t>
  </si>
  <si>
    <t xml:space="preserve">Date</t>
  </si>
  <si>
    <t xml:space="preserve">Level (m)</t>
  </si>
  <si>
    <t xml:space="preserve">Highest river level of the year (m)</t>
  </si>
  <si>
    <t xml:space="preserve">Lag time: days between the heaviest rain and the river peak</t>
  </si>
  <si>
    <t xml:space="preserve">Days above the danger level (4.2 m)</t>
  </si>
  <si>
    <t xml:space="preserve">Days from the peak until the river fell back below the warning level</t>
  </si>
  <si>
    <t xml:space="preserve">Session 5 · Workshop: My district in numbers</t>
  </si>
  <si>
    <t xml:space="preserve">Replace the example values with your own district's facts. This card is step 1 of your capstone.</t>
  </si>
  <si>
    <t xml:space="preserve">My district</t>
  </si>
  <si>
    <t xml:space="preserve">Where to find it</t>
  </si>
  <si>
    <t xml:space="preserve">District</t>
  </si>
  <si>
    <t xml:space="preserve">Example district</t>
  </si>
  <si>
    <t xml:space="preserve">Your choice</t>
  </si>
  <si>
    <t xml:space="preserve">State</t>
  </si>
  <si>
    <t xml:space="preserve">Example state</t>
  </si>
  <si>
    <t xml:space="preserve">Area (km²)</t>
  </si>
  <si>
    <t xml:space="preserve">District website or Census of India</t>
  </si>
  <si>
    <t xml:space="preserve">Population</t>
  </si>
  <si>
    <t xml:space="preserve">Census of India or district website</t>
  </si>
  <si>
    <t xml:space="preserve">Normal annual rainfall (mm)</t>
  </si>
  <si>
    <t xml:space="preserve">IMD district rainfall pages</t>
  </si>
  <si>
    <t xml:space="preserve">Main river or lake</t>
  </si>
  <si>
    <t xml:space="preserve">Example river</t>
  </si>
  <si>
    <t xml:space="preserve">Map or district website</t>
  </si>
  <si>
    <t xml:space="preserve">In a normal year</t>
  </si>
  <si>
    <t xml:space="preserve">How it is calculated</t>
  </si>
  <si>
    <t xml:space="preserve">Rain on the district (MCM)</t>
  </si>
  <si>
    <t xml:space="preserve">rainfall (m) × area (m²) ÷ 1,000,000</t>
  </si>
  <si>
    <t xml:space="preserve">Need at 135 LPCD</t>
  </si>
  <si>
    <t xml:space="preserve">Rain on the district (TMC)</t>
  </si>
  <si>
    <t xml:space="preserve">MCM ÷ 28.3</t>
  </si>
  <si>
    <t xml:space="preserve">Rain on the district</t>
  </si>
  <si>
    <t xml:space="preserve">Litres per person per day, if all rain were shared</t>
  </si>
  <si>
    <t xml:space="preserve">litres ÷ people ÷ 365</t>
  </si>
  <si>
    <t xml:space="preserve">Domestic need at 135 LPCD (MCM per year)</t>
  </si>
  <si>
    <t xml:space="preserve">people × 135 L × 365 days</t>
  </si>
  <si>
    <t xml:space="preserve">Rain received ÷ water needed</t>
  </si>
  <si>
    <t xml:space="preserve">how many times the need</t>
  </si>
  <si>
    <t xml:space="preserve">Lab 1 question</t>
  </si>
  <si>
    <t xml:space="preserve">Why do cities flood quickly?</t>
  </si>
  <si>
    <t xml:space="preserve">Most useful time scale for a farmer, and why</t>
  </si>
  <si>
    <t xml:space="preserve">Why does the river peak after the rain?</t>
  </si>
  <si>
    <t xml:space="preserve">Card status</t>
  </si>
  <si>
    <t xml:space="preserve">River level (m)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</si>
</sst>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#,##0.00"/>
    <numFmt numFmtId="167" formatCode="#,##0"/>
    <numFmt numFmtId="168" formatCode="0.000000"/>
    <numFmt numFmtId="169" formatCode="#,##0.0"/>
    <numFmt numFmtId="170" formatCode="dd\-mmm"/>
    <numFmt numFmtId="171" formatCode="0.0"/>
    <numFmt numFmtId="172" formatCode="0.00"/>
    <numFmt numFmtId="173" formatCode="dd\-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3234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3234A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2E7D32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DE2E1"/>
        </patternFill>
      </fill>
    </dxf>
    <dxf>
      <fill>
        <patternFill>
          <bgColor rgb="FFF4C7C3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DE2E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4C7C3"/>
      <rgbColor rgb="FF4A7EBB"/>
      <rgbColor rgb="FF33CCCC"/>
      <rgbColor rgb="FF99CC00"/>
      <rgbColor rgb="FFFFCC00"/>
      <rgbColor rgb="FFFF9900"/>
      <rgbColor rgb="FFFF6600"/>
      <rgbColor rgb="FF6B6B6B"/>
      <rgbColor rgb="FF4F81BD"/>
      <rgbColor rgb="FF13234A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rainfall, 2023 (sample station)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'S03 Rain Gauge'!H5</c:f>
              <c:strCache>
                <c:ptCount val="1"/>
                <c:pt idx="0">
                  <c:v>Rain (mm)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'S03 Rain Gauge'!$G$6:$G$17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'S03 Rain Gauge'!$H$6:$H$17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1.8</c:v>
                </c:pt>
                <c:pt idx="3">
                  <c:v>80.2</c:v>
                </c:pt>
                <c:pt idx="4">
                  <c:v>124.3</c:v>
                </c:pt>
                <c:pt idx="5">
                  <c:v>78.7</c:v>
                </c:pt>
                <c:pt idx="6">
                  <c:v>121.8</c:v>
                </c:pt>
                <c:pt idx="7">
                  <c:v>153.3</c:v>
                </c:pt>
                <c:pt idx="8">
                  <c:v>245.5</c:v>
                </c:pt>
                <c:pt idx="9">
                  <c:v>156.7</c:v>
                </c:pt>
                <c:pt idx="10">
                  <c:v>91.3</c:v>
                </c:pt>
                <c:pt idx="11">
                  <c:v>11.1</c:v>
                </c:pt>
              </c:numCache>
            </c:numRef>
          </c:val>
        </c:ser>
        <c:gapWidth val="150"/>
        <c:overlap val="0"/>
        <c:axId val="52393931"/>
        <c:axId val="88516942"/>
      </c:barChart>
      <c:catAx>
        <c:axId val="52393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16942"/>
        <c:crosses val="autoZero"/>
        <c:auto val="1"/>
        <c:lblAlgn val="ctr"/>
        <c:lblOffset val="100"/>
        <c:noMultiLvlLbl val="0"/>
      </c:catAx>
      <c:valAx>
        <c:axId val="88516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Rainfall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93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River level, 15 Sep to 10 Oct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'S04 River Gauge'!I5</c:f>
              <c:strCache>
                <c:ptCount val="1"/>
                <c:pt idx="0">
                  <c:v>Level (m)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'S04 River Gauge'!$G$6:$G$31</c:f>
              <c:strCache>
                <c:ptCount val="26"/>
                <c:pt idx="0">
                  <c:v>15-Sep</c:v>
                </c:pt>
                <c:pt idx="1">
                  <c:v>16-Sep</c:v>
                </c:pt>
                <c:pt idx="2">
                  <c:v>17-Sep</c:v>
                </c:pt>
                <c:pt idx="3">
                  <c:v>18-Sep</c:v>
                </c:pt>
                <c:pt idx="4">
                  <c:v>19-Sep</c:v>
                </c:pt>
                <c:pt idx="5">
                  <c:v>20-Sep</c:v>
                </c:pt>
                <c:pt idx="6">
                  <c:v>21-Sep</c:v>
                </c:pt>
                <c:pt idx="7">
                  <c:v>22-Sep</c:v>
                </c:pt>
                <c:pt idx="8">
                  <c:v>23-Sep</c:v>
                </c:pt>
                <c:pt idx="9">
                  <c:v>24-Sep</c:v>
                </c:pt>
                <c:pt idx="10">
                  <c:v>25-Sep</c:v>
                </c:pt>
                <c:pt idx="11">
                  <c:v>26-Sep</c:v>
                </c:pt>
                <c:pt idx="12">
                  <c:v>27-Sep</c:v>
                </c:pt>
                <c:pt idx="13">
                  <c:v>28-Sep</c:v>
                </c:pt>
                <c:pt idx="14">
                  <c:v>29-Sep</c:v>
                </c:pt>
                <c:pt idx="15">
                  <c:v>30-Sep</c:v>
                </c:pt>
                <c:pt idx="16">
                  <c:v>01-Oct</c:v>
                </c:pt>
                <c:pt idx="17">
                  <c:v>02-Oct</c:v>
                </c:pt>
                <c:pt idx="18">
                  <c:v>03-Oct</c:v>
                </c:pt>
                <c:pt idx="19">
                  <c:v>04-Oct</c:v>
                </c:pt>
                <c:pt idx="20">
                  <c:v>05-Oct</c:v>
                </c:pt>
                <c:pt idx="21">
                  <c:v>06-Oct</c:v>
                </c:pt>
                <c:pt idx="22">
                  <c:v>07-Oct</c:v>
                </c:pt>
                <c:pt idx="23">
                  <c:v>08-Oct</c:v>
                </c:pt>
                <c:pt idx="24">
                  <c:v>09-Oct</c:v>
                </c:pt>
                <c:pt idx="25">
                  <c:v>10-Oct</c:v>
                </c:pt>
              </c:strCache>
            </c:strRef>
          </c:cat>
          <c:val>
            <c:numRef>
              <c:f>'S04 River Gauge'!$I$6:$I$31</c:f>
              <c:numCache>
                <c:formatCode>0.00</c:formatCode>
                <c:ptCount val="26"/>
                <c:pt idx="0">
                  <c:v>1.96</c:v>
                </c:pt>
                <c:pt idx="1">
                  <c:v>1.95</c:v>
                </c:pt>
                <c:pt idx="2">
                  <c:v>2</c:v>
                </c:pt>
                <c:pt idx="3">
                  <c:v>2.12</c:v>
                </c:pt>
                <c:pt idx="4">
                  <c:v>2.15</c:v>
                </c:pt>
                <c:pt idx="5">
                  <c:v>2.25</c:v>
                </c:pt>
                <c:pt idx="6">
                  <c:v>3.27</c:v>
                </c:pt>
                <c:pt idx="7">
                  <c:v>4.25</c:v>
                </c:pt>
                <c:pt idx="8">
                  <c:v>4.56</c:v>
                </c:pt>
                <c:pt idx="9">
                  <c:v>4.51</c:v>
                </c:pt>
                <c:pt idx="10">
                  <c:v>4.29</c:v>
                </c:pt>
                <c:pt idx="11">
                  <c:v>4.01</c:v>
                </c:pt>
                <c:pt idx="12">
                  <c:v>3.71</c:v>
                </c:pt>
                <c:pt idx="13">
                  <c:v>3.42</c:v>
                </c:pt>
                <c:pt idx="14">
                  <c:v>3.16</c:v>
                </c:pt>
                <c:pt idx="15">
                  <c:v>2.94</c:v>
                </c:pt>
                <c:pt idx="16">
                  <c:v>2.75</c:v>
                </c:pt>
                <c:pt idx="17">
                  <c:v>2.58</c:v>
                </c:pt>
                <c:pt idx="18">
                  <c:v>2.45</c:v>
                </c:pt>
                <c:pt idx="19">
                  <c:v>2.36</c:v>
                </c:pt>
                <c:pt idx="20">
                  <c:v>2.27</c:v>
                </c:pt>
                <c:pt idx="21">
                  <c:v>2.19</c:v>
                </c:pt>
                <c:pt idx="22">
                  <c:v>2.13</c:v>
                </c:pt>
                <c:pt idx="23">
                  <c:v>2.07</c:v>
                </c:pt>
                <c:pt idx="24">
                  <c:v>2.03</c:v>
                </c:pt>
                <c:pt idx="25">
                  <c:v>2.05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416284"/>
        <c:axId val="44504194"/>
      </c:lineChart>
      <c:catAx>
        <c:axId val="26416284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04194"/>
        <c:crosses val="autoZero"/>
        <c:auto val="1"/>
        <c:lblAlgn val="ctr"/>
        <c:lblOffset val="100"/>
        <c:noMultiLvlLbl val="0"/>
      </c:catAx>
      <c:valAx>
        <c:axId val="44504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162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 received vs domestic need (MCM per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'S05 District Card'!$F$14:$F$15</c:f>
              <c:strCache>
                <c:ptCount val="2"/>
                <c:pt idx="0">
                  <c:v>Need at 135 LPCD</c:v>
                </c:pt>
                <c:pt idx="1">
                  <c:v>Rain on the district</c:v>
                </c:pt>
              </c:strCache>
            </c:strRef>
          </c:cat>
          <c:val>
            <c:numRef>
              <c:f>'S05 District Card'!$G$14:$G$15</c:f>
              <c:numCache>
                <c:formatCode>#,##0</c:formatCode>
                <c:ptCount val="2"/>
                <c:pt idx="0">
                  <c:v>98.55</c:v>
                </c:pt>
                <c:pt idx="1">
                  <c:v>1800</c:v>
                </c:pt>
              </c:numCache>
            </c:numRef>
          </c:val>
        </c:ser>
        <c:gapWidth val="150"/>
        <c:overlap val="0"/>
        <c:axId val="47676215"/>
        <c:axId val="16088938"/>
      </c:barChart>
      <c:catAx>
        <c:axId val="47676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88938"/>
        <c:crosses val="autoZero"/>
        <c:auto val="1"/>
        <c:lblAlgn val="ctr"/>
        <c:lblOffset val="100"/>
        <c:noMultiLvlLbl val="0"/>
      </c:catAx>
      <c:valAx>
        <c:axId val="16088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76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2095560</xdr:rowOff>
    </xdr:from>
    <xdr:to>
      <xdr:col>3</xdr:col>
      <xdr:colOff>1248480</xdr:colOff>
      <xdr:row>4</xdr:row>
      <xdr:rowOff>74520</xdr:rowOff>
    </xdr:to>
    <xdr:graphicFrame>
      <xdr:nvGraphicFramePr>
        <xdr:cNvPr id="0" name="Chart 1"/>
        <xdr:cNvGraphicFramePr/>
      </xdr:nvGraphicFramePr>
      <xdr:xfrm>
        <a:off x="211320" y="2286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1905120</xdr:rowOff>
    </xdr:from>
    <xdr:to>
      <xdr:col>3</xdr:col>
      <xdr:colOff>966600</xdr:colOff>
      <xdr:row>4</xdr:row>
      <xdr:rowOff>73800</xdr:rowOff>
    </xdr:to>
    <xdr:graphicFrame>
      <xdr:nvGraphicFramePr>
        <xdr:cNvPr id="1" name="Chart 1"/>
        <xdr:cNvGraphicFramePr/>
      </xdr:nvGraphicFramePr>
      <xdr:xfrm>
        <a:off x="211320" y="209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42480</xdr:rowOff>
    </xdr:from>
    <xdr:to>
      <xdr:col>3</xdr:col>
      <xdr:colOff>684720</xdr:colOff>
      <xdr:row>35</xdr:row>
      <xdr:rowOff>106920</xdr:rowOff>
    </xdr:to>
    <xdr:graphicFrame>
      <xdr:nvGraphicFramePr>
        <xdr:cNvPr id="2" name="Chart 1"/>
        <xdr:cNvGraphicFramePr/>
      </xdr:nvGraphicFramePr>
      <xdr:xfrm>
        <a:off x="211320" y="5981760"/>
        <a:ext cx="575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23.8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8</v>
      </c>
    </row>
    <row r="13" customFormat="false" ht="23.85" hidden="false" customHeight="false" outlineLevel="0" collapsed="false">
      <c r="B13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56"/>
    <col collapsed="false" customWidth="true" hidden="false" outlineLevel="0" max="4" min="4" style="0" width="24"/>
    <col collapsed="false" customWidth="true" hidden="false" outlineLevel="0" max="5" min="5" style="0" width="16"/>
  </cols>
  <sheetData>
    <row r="2" customFormat="false" ht="182.05" hidden="false" customHeight="false" outlineLevel="0" collapsed="false">
      <c r="B2" s="1" t="s">
        <v>10</v>
      </c>
    </row>
    <row r="3" customFormat="false" ht="126.85" hidden="false" customHeight="false" outlineLevel="0" collapsed="false">
      <c r="B3" s="2" t="s">
        <v>11</v>
      </c>
    </row>
    <row r="5" customFormat="false" ht="15" hidden="false" customHeight="false" outlineLevel="0" collapsed="false">
      <c r="B5" s="5" t="s">
        <v>12</v>
      </c>
      <c r="C5" s="5" t="s">
        <v>13</v>
      </c>
      <c r="D5" s="5" t="s">
        <v>14</v>
      </c>
      <c r="E5" s="5" t="s">
        <v>15</v>
      </c>
    </row>
    <row r="6" customFormat="false" ht="15" hidden="false" customHeight="false" outlineLevel="0" collapsed="false">
      <c r="B6" s="6" t="s">
        <v>16</v>
      </c>
      <c r="C6" s="7" t="s">
        <v>17</v>
      </c>
      <c r="D6" s="8"/>
      <c r="E6" s="6" t="str">
        <f aca="false">IF(OR(D6="",D6="choose"),"",IF(D6="Rainfall depth","✓ Correct","✗ Try again"))</f>
        <v/>
      </c>
    </row>
    <row r="7" customFormat="false" ht="15" hidden="false" customHeight="false" outlineLevel="0" collapsed="false">
      <c r="B7" s="6" t="s">
        <v>18</v>
      </c>
      <c r="C7" s="7" t="s">
        <v>19</v>
      </c>
      <c r="D7" s="8"/>
      <c r="E7" s="6" t="str">
        <f aca="false">IF(OR(D7="",D7="choose"),"",IF(D7="Water level","✓ Correct","✗ Try again"))</f>
        <v/>
      </c>
    </row>
    <row r="8" customFormat="false" ht="15" hidden="false" customHeight="false" outlineLevel="0" collapsed="false">
      <c r="B8" s="6" t="s">
        <v>20</v>
      </c>
      <c r="C8" s="7" t="s">
        <v>21</v>
      </c>
      <c r="D8" s="8"/>
      <c r="E8" s="6" t="str">
        <f aca="false">IF(OR(D8="",D8="choose"),"",IF(D8="Water supply","✓ Correct","✗ Try again"))</f>
        <v/>
      </c>
    </row>
    <row r="9" customFormat="false" ht="15" hidden="false" customHeight="false" outlineLevel="0" collapsed="false">
      <c r="B9" s="6" t="s">
        <v>22</v>
      </c>
      <c r="C9" s="7" t="s">
        <v>23</v>
      </c>
      <c r="D9" s="8"/>
      <c r="E9" s="6" t="str">
        <f aca="false">IF(OR(D9="",D9="choose"),"",IF(D9="Rainfall anomaly","✓ Correct","✗ Try again"))</f>
        <v/>
      </c>
    </row>
    <row r="10" customFormat="false" ht="15" hidden="false" customHeight="false" outlineLevel="0" collapsed="false">
      <c r="B10" s="6" t="s">
        <v>24</v>
      </c>
      <c r="C10" s="7" t="s">
        <v>25</v>
      </c>
      <c r="D10" s="8"/>
      <c r="E10" s="6" t="str">
        <f aca="false">IF(OR(D10="",D10="choose"),"",IF(D10="River flow","✓ Correct","✗ Try again"))</f>
        <v/>
      </c>
    </row>
    <row r="11" customFormat="false" ht="15" hidden="false" customHeight="false" outlineLevel="0" collapsed="false">
      <c r="B11" s="6" t="s">
        <v>26</v>
      </c>
      <c r="C11" s="7" t="s">
        <v>27</v>
      </c>
      <c r="D11" s="8"/>
      <c r="E11" s="6" t="str">
        <f aca="false">IF(OR(D11="",D11="choose"),"",IF(D11="Groundwater depth","✓ Correct","✗ Try again"))</f>
        <v/>
      </c>
    </row>
    <row r="12" customFormat="false" ht="15" hidden="false" customHeight="false" outlineLevel="0" collapsed="false">
      <c r="C12" s="6" t="s">
        <v>28</v>
      </c>
      <c r="E12" s="9" t="n">
        <f aca="false">COUNTIF(E6:E11,"✓*")</f>
        <v>0</v>
      </c>
    </row>
    <row r="14" customFormat="false" ht="23.85" hidden="false" customHeight="false" outlineLevel="0" collapsed="false">
      <c r="B14" s="3" t="s">
        <v>29</v>
      </c>
    </row>
    <row r="15" customFormat="false" ht="30" hidden="false" customHeight="true" outlineLevel="0" collapsed="false">
      <c r="C15" s="7" t="s">
        <v>30</v>
      </c>
      <c r="D15" s="8"/>
      <c r="E15" s="6" t="str">
        <f aca="false">IF(OR(D15="",D15="choose"),"",IF(D15="Compared to what?","✓ Correct","✗ Try again"))</f>
        <v/>
      </c>
    </row>
  </sheetData>
  <conditionalFormatting sqref="E6:E15">
    <cfRule type="expression" priority="2" aboveAverage="0" equalAverage="0" bottom="0" percent="0" rank="0" text="" dxfId="0">
      <formula>LEFT(E6,1)="✓"</formula>
    </cfRule>
    <cfRule type="expression" priority="3" aboveAverage="0" equalAverage="0" bottom="0" percent="0" rank="0" text="" dxfId="1">
      <formula>LEFT(E6,1)="✗"</formula>
    </cfRule>
  </conditionalFormatting>
  <dataValidations count="2">
    <dataValidation allowBlank="true" errorStyle="stop" operator="between" showDropDown="false" showErrorMessage="false" showInputMessage="false" sqref="D6:D11" type="list">
      <formula1>"Rainfall depth,Water level,Water supply,Rainfall anomaly,River flow,Groundwater depth"</formula1>
      <formula2>0</formula2>
    </dataValidation>
    <dataValidation allowBlank="true" errorStyle="stop" operator="between" showDropDown="false" showErrorMessage="false" showInputMessage="false" sqref="D15" type="list">
      <formula1>"What was measured?,Where?,Over what time?,Compared to what?"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62"/>
    <col collapsed="false" customWidth="true" hidden="false" outlineLevel="0" max="5" min="4" style="0" width="16"/>
    <col collapsed="false" customWidth="true" hidden="false" outlineLevel="0" max="6" min="6" style="0" width="46"/>
  </cols>
  <sheetData>
    <row r="2" customFormat="false" ht="231.3" hidden="false" customHeight="false" outlineLevel="0" collapsed="false">
      <c r="B2" s="1" t="s">
        <v>31</v>
      </c>
    </row>
    <row r="3" customFormat="false" ht="179.1" hidden="false" customHeight="false" outlineLevel="0" collapsed="false">
      <c r="B3" s="2" t="s">
        <v>32</v>
      </c>
    </row>
    <row r="5" customFormat="false" ht="15" hidden="false" customHeight="false" outlineLevel="0" collapsed="false">
      <c r="B5" s="5" t="s">
        <v>12</v>
      </c>
      <c r="C5" s="5" t="s">
        <v>33</v>
      </c>
      <c r="D5" s="5" t="s">
        <v>14</v>
      </c>
      <c r="E5" s="5" t="s">
        <v>15</v>
      </c>
      <c r="F5" s="5" t="s">
        <v>34</v>
      </c>
    </row>
    <row r="6" customFormat="false" ht="30" hidden="false" customHeight="true" outlineLevel="0" collapsed="false">
      <c r="B6" s="6" t="s">
        <v>35</v>
      </c>
      <c r="C6" s="7" t="s">
        <v>36</v>
      </c>
      <c r="D6" s="10"/>
      <c r="E6" s="6" t="str">
        <f aca="false">IF(D6="","",IF(ABS(D6-(65*120))&lt;=MAX(ABS(65*120)*0.02,0.01),"✓ Correct","✗ Try again"))</f>
        <v/>
      </c>
      <c r="F6" s="11" t="s">
        <v>37</v>
      </c>
    </row>
    <row r="7" customFormat="false" ht="30" hidden="false" customHeight="true" outlineLevel="0" collapsed="false">
      <c r="B7" s="6" t="s">
        <v>38</v>
      </c>
      <c r="C7" s="7" t="s">
        <v>39</v>
      </c>
      <c r="D7" s="10"/>
      <c r="E7" s="6" t="str">
        <f aca="false">IF(D7="","",IF(ABS(D7-(40*30*10000/1000))&lt;=MAX(ABS(40*30*10000/1000)*0.02,0.01),"✓ Correct","✗ Try again"))</f>
        <v/>
      </c>
      <c r="F7" s="11" t="s">
        <v>40</v>
      </c>
    </row>
    <row r="8" customFormat="false" ht="30" hidden="false" customHeight="true" outlineLevel="0" collapsed="false">
      <c r="B8" s="6" t="s">
        <v>41</v>
      </c>
      <c r="C8" s="7" t="s">
        <v>42</v>
      </c>
      <c r="D8" s="10"/>
      <c r="E8" s="6" t="str">
        <f aca="false">IF(D8="","",IF(ABS(D8-(2*28.316846592))&lt;=MAX(ABS(2*28.316846592)*0.02,0.01),"✓ Correct","✗ Try again"))</f>
        <v/>
      </c>
      <c r="F8" s="11" t="s">
        <v>43</v>
      </c>
    </row>
    <row r="9" customFormat="false" ht="30" hidden="false" customHeight="true" outlineLevel="0" collapsed="false">
      <c r="B9" s="6" t="s">
        <v>44</v>
      </c>
      <c r="C9" s="7" t="s">
        <v>45</v>
      </c>
      <c r="D9" s="10"/>
      <c r="E9" s="6" t="str">
        <f aca="false">IF(D9="","",IF(ABS(D9-(250*86400/1000000))&lt;=MAX(ABS(250*86400/1000000)*0.02,0.01),"✓ Correct","✗ Try again"))</f>
        <v/>
      </c>
      <c r="F9" s="11" t="s">
        <v>46</v>
      </c>
    </row>
    <row r="10" customFormat="false" ht="30" hidden="false" customHeight="true" outlineLevel="0" collapsed="false">
      <c r="B10" s="6" t="s">
        <v>47</v>
      </c>
      <c r="C10" s="7" t="s">
        <v>48</v>
      </c>
      <c r="D10" s="10"/>
      <c r="E10" s="6" t="str">
        <f aca="false">IF(D10="","",IF(ABS(D10-(50000/35.3147))&lt;=MAX(ABS(50000/35.3147)*0.02,0.01),"✓ Correct","✗ Try again"))</f>
        <v/>
      </c>
      <c r="F10" s="11" t="s">
        <v>49</v>
      </c>
    </row>
    <row r="11" customFormat="false" ht="30" hidden="false" customHeight="true" outlineLevel="0" collapsed="false">
      <c r="B11" s="6" t="s">
        <v>50</v>
      </c>
      <c r="C11" s="7" t="s">
        <v>51</v>
      </c>
      <c r="D11" s="10"/>
      <c r="E11" s="6" t="str">
        <f aca="false">IF(D11="","",IF(ABS(D11-(28316.846592/1450))&lt;=MAX(ABS(28316.846592/1450)*0.02,0.01),"✓ Correct","✗ Try again"))</f>
        <v/>
      </c>
      <c r="F11" s="11" t="s">
        <v>52</v>
      </c>
    </row>
    <row r="12" customFormat="false" ht="15" hidden="false" customHeight="false" outlineLevel="0" collapsed="false">
      <c r="C12" s="6" t="s">
        <v>28</v>
      </c>
      <c r="E12" s="9" t="n">
        <f aca="false">COUNTIF(E6:E11,"✓*")</f>
        <v>0</v>
      </c>
    </row>
    <row r="14" customFormat="false" ht="57.45" hidden="false" customHeight="false" outlineLevel="0" collapsed="false">
      <c r="B14" s="3" t="s">
        <v>53</v>
      </c>
    </row>
    <row r="15" customFormat="false" ht="15" hidden="false" customHeight="false" outlineLevel="0" collapsed="false">
      <c r="B15" s="5"/>
      <c r="C15" s="5" t="s">
        <v>54</v>
      </c>
      <c r="D15" s="5" t="s">
        <v>55</v>
      </c>
    </row>
    <row r="16" customFormat="false" ht="15" hidden="false" customHeight="false" outlineLevel="0" collapsed="false">
      <c r="C16" s="12" t="s">
        <v>56</v>
      </c>
      <c r="D16" s="8" t="n">
        <v>50</v>
      </c>
    </row>
    <row r="17" customFormat="false" ht="15" hidden="false" customHeight="false" outlineLevel="0" collapsed="false">
      <c r="C17" s="12" t="s">
        <v>57</v>
      </c>
      <c r="D17" s="13" t="n">
        <v>100</v>
      </c>
    </row>
    <row r="18" customFormat="false" ht="15" hidden="false" customHeight="false" outlineLevel="0" collapsed="false">
      <c r="C18" s="6" t="s">
        <v>58</v>
      </c>
      <c r="D18" s="14" t="n">
        <f aca="false">D16*D17</f>
        <v>5000</v>
      </c>
    </row>
    <row r="19" customFormat="false" ht="15" hidden="false" customHeight="false" outlineLevel="0" collapsed="false">
      <c r="C19" s="6" t="s">
        <v>59</v>
      </c>
      <c r="D19" s="15" t="n">
        <f aca="false">D18/1000000000</f>
        <v>5E-006</v>
      </c>
    </row>
  </sheetData>
  <conditionalFormatting sqref="E6:E11">
    <cfRule type="expression" priority="2" aboveAverage="0" equalAverage="0" bottom="0" percent="0" rank="0" text="" dxfId="0">
      <formula>LEFT(E6,1)="✓"</formula>
    </cfRule>
    <cfRule type="expression" priority="3" aboveAverage="0" equalAverage="0" bottom="0" percent="0" rank="0" text="" dxfId="1">
      <formula>LEFT(E6,1)="✗"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5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13"/>
  </cols>
  <sheetData>
    <row r="2" customFormat="false" ht="198.5" hidden="false" customHeight="false" outlineLevel="0" collapsed="false">
      <c r="B2" s="1" t="s">
        <v>60</v>
      </c>
    </row>
    <row r="3" customFormat="false" ht="158.2" hidden="false" customHeight="false" outlineLevel="0" collapsed="false">
      <c r="B3" s="2" t="s">
        <v>61</v>
      </c>
    </row>
    <row r="5" customFormat="false" ht="15" hidden="false" customHeight="false" outlineLevel="0" collapsed="false">
      <c r="B5" s="5" t="s">
        <v>12</v>
      </c>
      <c r="C5" s="5" t="s">
        <v>33</v>
      </c>
      <c r="D5" s="5" t="s">
        <v>14</v>
      </c>
      <c r="E5" s="5" t="s">
        <v>15</v>
      </c>
      <c r="G5" s="5" t="s">
        <v>62</v>
      </c>
      <c r="H5" s="5" t="s">
        <v>63</v>
      </c>
    </row>
    <row r="6" customFormat="false" ht="15" hidden="false" customHeight="false" outlineLevel="0" collapsed="false">
      <c r="B6" s="6" t="s">
        <v>35</v>
      </c>
      <c r="C6" s="7" t="s">
        <v>64</v>
      </c>
      <c r="D6" s="8"/>
      <c r="E6" s="6" t="str">
        <f aca="false">IF(D6="","",IF(ABS(D6-(SUM(Data!$B$2:$B$366)))&lt;=MAX(ABS(SUM(Data!$B$2:$B$366))*0.02,0.01),"✓ Correct","✗ Try again"))</f>
        <v/>
      </c>
      <c r="G6" s="12" t="s">
        <v>65</v>
      </c>
      <c r="H6" s="16" t="n">
        <f aca="false">SUMIF(Data!$D$2:$D$366,1,Data!$B$2:$B$366)</f>
        <v>0</v>
      </c>
    </row>
    <row r="7" customFormat="false" ht="15" hidden="false" customHeight="false" outlineLevel="0" collapsed="false">
      <c r="B7" s="6" t="s">
        <v>38</v>
      </c>
      <c r="C7" s="7" t="s">
        <v>66</v>
      </c>
      <c r="D7" s="8"/>
      <c r="E7" s="6" t="str">
        <f aca="false">IF(D7="","",IF(ABS(D7-(COUNTIF(Data!$B$2:$B$366,"&gt;=2.5")))&lt;=MAX(ABS(COUNTIF(Data!$B$2:$B$366,"&gt;=2.5"))*0,0.01),"✓ Correct","✗ Try again"))</f>
        <v/>
      </c>
      <c r="G7" s="12" t="s">
        <v>67</v>
      </c>
      <c r="H7" s="16" t="n">
        <f aca="false">SUMIF(Data!$D$2:$D$366,2,Data!$B$2:$B$366)</f>
        <v>0</v>
      </c>
    </row>
    <row r="8" customFormat="false" ht="15" hidden="false" customHeight="false" outlineLevel="0" collapsed="false">
      <c r="B8" s="6" t="s">
        <v>41</v>
      </c>
      <c r="C8" s="7" t="s">
        <v>68</v>
      </c>
      <c r="D8" s="8"/>
      <c r="E8" s="6" t="str">
        <f aca="false">IF(OR(D8="",D8="choose"),"",IF(D8="Sep","✓ Correct","✗ Try again"))</f>
        <v/>
      </c>
      <c r="G8" s="12" t="s">
        <v>69</v>
      </c>
      <c r="H8" s="16" t="n">
        <f aca="false">SUMIF(Data!$D$2:$D$366,3,Data!$B$2:$B$366)</f>
        <v>1.8</v>
      </c>
    </row>
    <row r="9" customFormat="false" ht="15" hidden="false" customHeight="false" outlineLevel="0" collapsed="false">
      <c r="B9" s="6" t="s">
        <v>44</v>
      </c>
      <c r="C9" s="7" t="s">
        <v>70</v>
      </c>
      <c r="D9" s="8"/>
      <c r="E9" s="6" t="str">
        <f aca="false">IF(D9="","",IF(ABS(D9-(SUMPRODUCT(LARGE(Data!$B$2:$B$366,ROW($1:$10)))/SUM(Data!$B$2:$B$366)*100))&lt;=MAX(ABS(SUMPRODUCT(LARGE(Data!$B$2:$B$366,ROW($1:$10)))/SUM(Data!$B$2:$B$366)*100)*0.05,0.01),"✓ Correct","✗ Try again"))</f>
        <v/>
      </c>
      <c r="G9" s="12" t="s">
        <v>71</v>
      </c>
      <c r="H9" s="16" t="n">
        <f aca="false">SUMIF(Data!$D$2:$D$366,4,Data!$B$2:$B$366)</f>
        <v>80.2</v>
      </c>
    </row>
    <row r="10" customFormat="false" ht="15" hidden="false" customHeight="false" outlineLevel="0" collapsed="false">
      <c r="B10" s="6" t="s">
        <v>47</v>
      </c>
      <c r="C10" s="7" t="s">
        <v>72</v>
      </c>
      <c r="D10" s="8"/>
      <c r="E10" s="6" t="str">
        <f aca="false">IF(OR(D10="",D10="choose"),"",IF(D10="SW monsoon (Jun–Sep)","✓ Correct","✗ Try again"))</f>
        <v/>
      </c>
      <c r="G10" s="12" t="s">
        <v>73</v>
      </c>
      <c r="H10" s="16" t="n">
        <f aca="false">SUMIF(Data!$D$2:$D$366,5,Data!$B$2:$B$366)</f>
        <v>124.3</v>
      </c>
    </row>
    <row r="11" customFormat="false" ht="15" hidden="false" customHeight="false" outlineLevel="0" collapsed="false">
      <c r="G11" s="12" t="s">
        <v>74</v>
      </c>
      <c r="H11" s="16" t="n">
        <f aca="false">SUMIF(Data!$D$2:$D$366,6,Data!$B$2:$B$366)</f>
        <v>78.7</v>
      </c>
    </row>
    <row r="12" customFormat="false" ht="15" hidden="false" customHeight="false" outlineLevel="0" collapsed="false">
      <c r="G12" s="12" t="s">
        <v>75</v>
      </c>
      <c r="H12" s="16" t="n">
        <f aca="false">SUMIF(Data!$D$2:$D$366,7,Data!$B$2:$B$366)</f>
        <v>121.8</v>
      </c>
    </row>
    <row r="13" customFormat="false" ht="15" hidden="false" customHeight="false" outlineLevel="0" collapsed="false">
      <c r="G13" s="12" t="s">
        <v>76</v>
      </c>
      <c r="H13" s="16" t="n">
        <f aca="false">SUMIF(Data!$D$2:$D$366,8,Data!$B$2:$B$366)</f>
        <v>153.3</v>
      </c>
    </row>
    <row r="14" customFormat="false" ht="15" hidden="false" customHeight="false" outlineLevel="0" collapsed="false">
      <c r="G14" s="12" t="s">
        <v>77</v>
      </c>
      <c r="H14" s="16" t="n">
        <f aca="false">SUMIF(Data!$D$2:$D$366,9,Data!$B$2:$B$366)</f>
        <v>245.5</v>
      </c>
    </row>
    <row r="15" customFormat="false" ht="15" hidden="false" customHeight="false" outlineLevel="0" collapsed="false">
      <c r="G15" s="12" t="s">
        <v>78</v>
      </c>
      <c r="H15" s="16" t="n">
        <f aca="false">SUMIF(Data!$D$2:$D$366,10,Data!$B$2:$B$366)</f>
        <v>156.7</v>
      </c>
    </row>
    <row r="16" customFormat="false" ht="15" hidden="false" customHeight="false" outlineLevel="0" collapsed="false">
      <c r="G16" s="12" t="s">
        <v>79</v>
      </c>
      <c r="H16" s="16" t="n">
        <f aca="false">SUMIF(Data!$D$2:$D$366,11,Data!$B$2:$B$366)</f>
        <v>91.3</v>
      </c>
    </row>
    <row r="17" customFormat="false" ht="15" hidden="false" customHeight="false" outlineLevel="0" collapsed="false">
      <c r="G17" s="12" t="s">
        <v>80</v>
      </c>
      <c r="H17" s="16" t="n">
        <f aca="false">SUMIF(Data!$D$2:$D$366,12,Data!$B$2:$B$366)</f>
        <v>11.1</v>
      </c>
    </row>
    <row r="18" customFormat="false" ht="15" hidden="false" customHeight="false" outlineLevel="0" collapsed="false">
      <c r="G18" s="6" t="s">
        <v>81</v>
      </c>
      <c r="H18" s="16" t="n">
        <f aca="false">SUM(H6:H17)</f>
        <v>1064.7</v>
      </c>
    </row>
  </sheetData>
  <conditionalFormatting sqref="E6:E10">
    <cfRule type="expression" priority="2" aboveAverage="0" equalAverage="0" bottom="0" percent="0" rank="0" text="" dxfId="0">
      <formula>LEFT(E6,1)="✓"</formula>
    </cfRule>
    <cfRule type="expression" priority="3" aboveAverage="0" equalAverage="0" bottom="0" percent="0" rank="0" text="" dxfId="1">
      <formula>LEFT(E6,1)="✗"</formula>
    </cfRule>
  </conditionalFormatting>
  <dataValidations count="2">
    <dataValidation allowBlank="true" errorStyle="stop" operator="between" showDropDown="false" showErrorMessage="false" showInputMessage="false" sqref="D8" type="list">
      <formula1>"Jan,Feb,Mar,Apr,May,Jun,Jul,Aug,Sep,Oct,Nov,Dec"</formula1>
      <formula2>0</formula2>
    </dataValidation>
    <dataValidation allowBlank="true" errorStyle="stop" operator="between" showDropDown="false" showErrorMessage="false" showInputMessage="false" sqref="D10" type="list">
      <formula1>"Winter (Jan–Feb),Pre-monsoon (Mar–May),SW monsoon (Jun–Sep),NE monsoon (Oct–Dec)"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62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</cols>
  <sheetData>
    <row r="2" customFormat="false" ht="214.9" hidden="false" customHeight="false" outlineLevel="0" collapsed="false">
      <c r="B2" s="1" t="s">
        <v>82</v>
      </c>
    </row>
    <row r="3" customFormat="false" ht="126.85" hidden="false" customHeight="false" outlineLevel="0" collapsed="false">
      <c r="B3" s="2" t="s">
        <v>83</v>
      </c>
    </row>
    <row r="4" customFormat="false" ht="15" hidden="false" customHeight="false" outlineLevel="0" collapsed="false">
      <c r="C4" s="12" t="s">
        <v>84</v>
      </c>
      <c r="D4" s="6" t="n">
        <v>3.6</v>
      </c>
    </row>
    <row r="5" customFormat="false" ht="15" hidden="false" customHeight="false" outlineLevel="0" collapsed="false">
      <c r="B5" s="5" t="s">
        <v>12</v>
      </c>
      <c r="C5" s="5" t="s">
        <v>33</v>
      </c>
      <c r="D5" s="5" t="s">
        <v>14</v>
      </c>
      <c r="E5" s="5" t="s">
        <v>15</v>
      </c>
      <c r="G5" s="5" t="s">
        <v>85</v>
      </c>
      <c r="H5" s="5" t="s">
        <v>63</v>
      </c>
      <c r="I5" s="5" t="s">
        <v>86</v>
      </c>
    </row>
    <row r="6" customFormat="false" ht="15" hidden="false" customHeight="false" outlineLevel="0" collapsed="false">
      <c r="B6" s="6" t="s">
        <v>35</v>
      </c>
      <c r="C6" s="7" t="s">
        <v>87</v>
      </c>
      <c r="D6" s="8"/>
      <c r="E6" s="6" t="str">
        <f aca="false">IF(D6="","",IF(ABS(D6-(MAX(Data!$C$2:$C$366)))&lt;=MAX(ABS(MAX(Data!$C$2:$C$366))*0.005,0.01),"✓ Correct","✗ Try again"))</f>
        <v/>
      </c>
      <c r="G6" s="17" t="n">
        <f aca="false">Data!A259</f>
        <v>45184</v>
      </c>
      <c r="H6" s="18" t="n">
        <f aca="false">Data!B259</f>
        <v>8.2</v>
      </c>
      <c r="I6" s="19" t="n">
        <f aca="false">Data!C259</f>
        <v>1.96</v>
      </c>
    </row>
    <row r="7" customFormat="false" ht="15" hidden="false" customHeight="false" outlineLevel="0" collapsed="false">
      <c r="B7" s="6" t="s">
        <v>38</v>
      </c>
      <c r="C7" s="7" t="s">
        <v>88</v>
      </c>
      <c r="D7" s="8"/>
      <c r="E7" s="6" t="str">
        <f aca="false">IF(D7="","",IF(ABS(D7-(INDEX(Data!$A$2:$A$366,MATCH(MAX(Data!$C$2:$C$366),Data!$C$2:$C$366,0))-INDEX(Data!$A$2:$A$366,MATCH(MAX(Data!$B$2:$B$366),Data!$B$2:$B$366,0))))&lt;=MAX(ABS(INDEX(Data!$A$2:$A$366,MATCH(MAX(Data!$C$2:$C$366),Data!$C$2:$C$366,0))-INDEX(Data!$A$2:$A$366,MATCH(MAX(Data!$B$2:$B$366),Data!$B$2:$B$366,0)))*0,0.01),"✓ Correct","✗ Try again"))</f>
        <v/>
      </c>
      <c r="G7" s="17" t="n">
        <f aca="false">Data!A260</f>
        <v>45185</v>
      </c>
      <c r="H7" s="18" t="n">
        <f aca="false">Data!B260</f>
        <v>0</v>
      </c>
      <c r="I7" s="19" t="n">
        <f aca="false">Data!C260</f>
        <v>1.95</v>
      </c>
    </row>
    <row r="8" customFormat="false" ht="15" hidden="false" customHeight="false" outlineLevel="0" collapsed="false">
      <c r="B8" s="6" t="s">
        <v>41</v>
      </c>
      <c r="C8" s="7" t="s">
        <v>89</v>
      </c>
      <c r="D8" s="8"/>
      <c r="E8" s="6" t="str">
        <f aca="false">IF(D8="","",IF(ABS(D8-(COUNTIF(Data!$C$2:$C$366,"&gt;4.2")))&lt;=MAX(ABS(COUNTIF(Data!$C$2:$C$366,"&gt;4.2"))*0,0.01),"✓ Correct","✗ Try again"))</f>
        <v/>
      </c>
      <c r="G8" s="17" t="n">
        <f aca="false">Data!A261</f>
        <v>45186</v>
      </c>
      <c r="H8" s="18" t="n">
        <f aca="false">Data!B261</f>
        <v>10.6</v>
      </c>
      <c r="I8" s="19" t="n">
        <f aca="false">Data!C261</f>
        <v>2</v>
      </c>
    </row>
    <row r="9" customFormat="false" ht="15" hidden="false" customHeight="false" outlineLevel="0" collapsed="false">
      <c r="B9" s="6" t="s">
        <v>44</v>
      </c>
      <c r="C9" s="7" t="s">
        <v>90</v>
      </c>
      <c r="D9" s="8"/>
      <c r="E9" s="6" t="str">
        <f aca="false">IF(D9="","",IF(ABS(D9-(5))&lt;=MAX(ABS(5)*0,0.01),"✓ Correct","✗ Try again"))</f>
        <v/>
      </c>
      <c r="G9" s="17" t="n">
        <f aca="false">Data!A262</f>
        <v>45187</v>
      </c>
      <c r="H9" s="18" t="n">
        <f aca="false">Data!B262</f>
        <v>14.9</v>
      </c>
      <c r="I9" s="19" t="n">
        <f aca="false">Data!C262</f>
        <v>2.12</v>
      </c>
    </row>
    <row r="10" customFormat="false" ht="15" hidden="false" customHeight="false" outlineLevel="0" collapsed="false">
      <c r="G10" s="17" t="n">
        <f aca="false">Data!A263</f>
        <v>45188</v>
      </c>
      <c r="H10" s="18" t="n">
        <f aca="false">Data!B263</f>
        <v>0</v>
      </c>
      <c r="I10" s="19" t="n">
        <f aca="false">Data!C263</f>
        <v>2.15</v>
      </c>
    </row>
    <row r="11" customFormat="false" ht="15" hidden="false" customHeight="false" outlineLevel="0" collapsed="false">
      <c r="G11" s="17" t="n">
        <f aca="false">Data!A264</f>
        <v>45189</v>
      </c>
      <c r="H11" s="18" t="n">
        <f aca="false">Data!B264</f>
        <v>14.6</v>
      </c>
      <c r="I11" s="19" t="n">
        <f aca="false">Data!C264</f>
        <v>2.25</v>
      </c>
    </row>
    <row r="12" customFormat="false" ht="15" hidden="false" customHeight="false" outlineLevel="0" collapsed="false">
      <c r="G12" s="17" t="n">
        <f aca="false">Data!A265</f>
        <v>45190</v>
      </c>
      <c r="H12" s="18" t="n">
        <f aca="false">Data!B265</f>
        <v>96.4</v>
      </c>
      <c r="I12" s="19" t="n">
        <f aca="false">Data!C265</f>
        <v>3.27</v>
      </c>
    </row>
    <row r="13" customFormat="false" ht="15" hidden="false" customHeight="false" outlineLevel="0" collapsed="false">
      <c r="G13" s="17" t="n">
        <f aca="false">Data!A266</f>
        <v>45191</v>
      </c>
      <c r="H13" s="18" t="n">
        <f aca="false">Data!B266</f>
        <v>58.2</v>
      </c>
      <c r="I13" s="19" t="n">
        <f aca="false">Data!C266</f>
        <v>4.25</v>
      </c>
    </row>
    <row r="14" customFormat="false" ht="15" hidden="false" customHeight="false" outlineLevel="0" collapsed="false">
      <c r="G14" s="17" t="n">
        <f aca="false">Data!A267</f>
        <v>45192</v>
      </c>
      <c r="H14" s="18" t="n">
        <f aca="false">Data!B267</f>
        <v>0</v>
      </c>
      <c r="I14" s="19" t="n">
        <f aca="false">Data!C267</f>
        <v>4.56</v>
      </c>
    </row>
    <row r="15" customFormat="false" ht="15" hidden="false" customHeight="false" outlineLevel="0" collapsed="false">
      <c r="G15" s="17" t="n">
        <f aca="false">Data!A268</f>
        <v>45193</v>
      </c>
      <c r="H15" s="18" t="n">
        <f aca="false">Data!B268</f>
        <v>0.4</v>
      </c>
      <c r="I15" s="19" t="n">
        <f aca="false">Data!C268</f>
        <v>4.51</v>
      </c>
    </row>
    <row r="16" customFormat="false" ht="15" hidden="false" customHeight="false" outlineLevel="0" collapsed="false">
      <c r="G16" s="17" t="n">
        <f aca="false">Data!A269</f>
        <v>45194</v>
      </c>
      <c r="H16" s="18" t="n">
        <f aca="false">Data!B269</f>
        <v>2.7</v>
      </c>
      <c r="I16" s="19" t="n">
        <f aca="false">Data!C269</f>
        <v>4.29</v>
      </c>
    </row>
    <row r="17" customFormat="false" ht="15" hidden="false" customHeight="false" outlineLevel="0" collapsed="false">
      <c r="G17" s="17" t="n">
        <f aca="false">Data!A270</f>
        <v>45195</v>
      </c>
      <c r="H17" s="18" t="n">
        <f aca="false">Data!B270</f>
        <v>0</v>
      </c>
      <c r="I17" s="19" t="n">
        <f aca="false">Data!C270</f>
        <v>4.01</v>
      </c>
    </row>
    <row r="18" customFormat="false" ht="15" hidden="false" customHeight="false" outlineLevel="0" collapsed="false">
      <c r="G18" s="17" t="n">
        <f aca="false">Data!A271</f>
        <v>45196</v>
      </c>
      <c r="H18" s="18" t="n">
        <f aca="false">Data!B271</f>
        <v>0.3</v>
      </c>
      <c r="I18" s="19" t="n">
        <f aca="false">Data!C271</f>
        <v>3.71</v>
      </c>
    </row>
    <row r="19" customFormat="false" ht="15" hidden="false" customHeight="false" outlineLevel="0" collapsed="false">
      <c r="G19" s="17" t="n">
        <f aca="false">Data!A272</f>
        <v>45197</v>
      </c>
      <c r="H19" s="18" t="n">
        <f aca="false">Data!B272</f>
        <v>0</v>
      </c>
      <c r="I19" s="19" t="n">
        <f aca="false">Data!C272</f>
        <v>3.42</v>
      </c>
    </row>
    <row r="20" customFormat="false" ht="15" hidden="false" customHeight="false" outlineLevel="0" collapsed="false">
      <c r="G20" s="17" t="n">
        <f aca="false">Data!A273</f>
        <v>45198</v>
      </c>
      <c r="H20" s="18" t="n">
        <f aca="false">Data!B273</f>
        <v>0</v>
      </c>
      <c r="I20" s="19" t="n">
        <f aca="false">Data!C273</f>
        <v>3.16</v>
      </c>
    </row>
    <row r="21" customFormat="false" ht="15" hidden="false" customHeight="false" outlineLevel="0" collapsed="false">
      <c r="G21" s="17" t="n">
        <f aca="false">Data!A274</f>
        <v>45199</v>
      </c>
      <c r="H21" s="18" t="n">
        <f aca="false">Data!B274</f>
        <v>4.5</v>
      </c>
      <c r="I21" s="19" t="n">
        <f aca="false">Data!C274</f>
        <v>2.94</v>
      </c>
    </row>
    <row r="22" customFormat="false" ht="15" hidden="false" customHeight="false" outlineLevel="0" collapsed="false">
      <c r="G22" s="17" t="n">
        <f aca="false">Data!A275</f>
        <v>45200</v>
      </c>
      <c r="H22" s="18" t="n">
        <f aca="false">Data!B275</f>
        <v>0</v>
      </c>
      <c r="I22" s="19" t="n">
        <f aca="false">Data!C275</f>
        <v>2.75</v>
      </c>
    </row>
    <row r="23" customFormat="false" ht="15" hidden="false" customHeight="false" outlineLevel="0" collapsed="false">
      <c r="G23" s="17" t="n">
        <f aca="false">Data!A276</f>
        <v>45201</v>
      </c>
      <c r="H23" s="18" t="n">
        <f aca="false">Data!B276</f>
        <v>0</v>
      </c>
      <c r="I23" s="19" t="n">
        <f aca="false">Data!C276</f>
        <v>2.58</v>
      </c>
    </row>
    <row r="24" customFormat="false" ht="15" hidden="false" customHeight="false" outlineLevel="0" collapsed="false">
      <c r="G24" s="17" t="n">
        <f aca="false">Data!A277</f>
        <v>45202</v>
      </c>
      <c r="H24" s="18" t="n">
        <f aca="false">Data!B277</f>
        <v>0</v>
      </c>
      <c r="I24" s="19" t="n">
        <f aca="false">Data!C277</f>
        <v>2.45</v>
      </c>
    </row>
    <row r="25" customFormat="false" ht="15" hidden="false" customHeight="false" outlineLevel="0" collapsed="false">
      <c r="G25" s="17" t="n">
        <f aca="false">Data!A278</f>
        <v>45203</v>
      </c>
      <c r="H25" s="18" t="n">
        <f aca="false">Data!B278</f>
        <v>7</v>
      </c>
      <c r="I25" s="19" t="n">
        <f aca="false">Data!C278</f>
        <v>2.36</v>
      </c>
    </row>
    <row r="26" customFormat="false" ht="15" hidden="false" customHeight="false" outlineLevel="0" collapsed="false">
      <c r="G26" s="17" t="n">
        <f aca="false">Data!A279</f>
        <v>45204</v>
      </c>
      <c r="H26" s="18" t="n">
        <f aca="false">Data!B279</f>
        <v>0</v>
      </c>
      <c r="I26" s="19" t="n">
        <f aca="false">Data!C279</f>
        <v>2.27</v>
      </c>
    </row>
    <row r="27" customFormat="false" ht="15" hidden="false" customHeight="false" outlineLevel="0" collapsed="false">
      <c r="G27" s="17" t="n">
        <f aca="false">Data!A280</f>
        <v>45205</v>
      </c>
      <c r="H27" s="18" t="n">
        <f aca="false">Data!B280</f>
        <v>3.4</v>
      </c>
      <c r="I27" s="19" t="n">
        <f aca="false">Data!C280</f>
        <v>2.19</v>
      </c>
    </row>
    <row r="28" customFormat="false" ht="15" hidden="false" customHeight="false" outlineLevel="0" collapsed="false">
      <c r="G28" s="17" t="n">
        <f aca="false">Data!A281</f>
        <v>45206</v>
      </c>
      <c r="H28" s="18" t="n">
        <f aca="false">Data!B281</f>
        <v>0</v>
      </c>
      <c r="I28" s="19" t="n">
        <f aca="false">Data!C281</f>
        <v>2.13</v>
      </c>
    </row>
    <row r="29" customFormat="false" ht="15" hidden="false" customHeight="false" outlineLevel="0" collapsed="false">
      <c r="G29" s="17" t="n">
        <f aca="false">Data!A282</f>
        <v>45207</v>
      </c>
      <c r="H29" s="18" t="n">
        <f aca="false">Data!B282</f>
        <v>0</v>
      </c>
      <c r="I29" s="19" t="n">
        <f aca="false">Data!C282</f>
        <v>2.07</v>
      </c>
    </row>
    <row r="30" customFormat="false" ht="15" hidden="false" customHeight="false" outlineLevel="0" collapsed="false">
      <c r="G30" s="17" t="n">
        <f aca="false">Data!A283</f>
        <v>45208</v>
      </c>
      <c r="H30" s="18" t="n">
        <f aca="false">Data!B283</f>
        <v>0</v>
      </c>
      <c r="I30" s="19" t="n">
        <f aca="false">Data!C283</f>
        <v>2.03</v>
      </c>
    </row>
    <row r="31" customFormat="false" ht="15" hidden="false" customHeight="false" outlineLevel="0" collapsed="false">
      <c r="G31" s="17" t="n">
        <f aca="false">Data!A284</f>
        <v>45209</v>
      </c>
      <c r="H31" s="18" t="n">
        <f aca="false">Data!B284</f>
        <v>11.2</v>
      </c>
      <c r="I31" s="19" t="n">
        <f aca="false">Data!C284</f>
        <v>2.05</v>
      </c>
    </row>
  </sheetData>
  <conditionalFormatting sqref="E6:E9">
    <cfRule type="expression" priority="2" aboveAverage="0" equalAverage="0" bottom="0" percent="0" rank="0" text="" dxfId="0">
      <formula>LEFT(E6,1)="✓"</formula>
    </cfRule>
    <cfRule type="expression" priority="3" aboveAverage="0" equalAverage="0" bottom="0" percent="0" rank="0" text="" dxfId="1">
      <formula>LEFT(E6,1)="✗"</formula>
    </cfRule>
  </conditionalFormatting>
  <conditionalFormatting sqref="I6:I31">
    <cfRule type="expression" priority="4" aboveAverage="0" equalAverage="0" bottom="0" percent="0" rank="0" text="" dxfId="2">
      <formula>I6&gt;4.2</formula>
    </cfRule>
    <cfRule type="expression" priority="5" aboveAverage="0" equalAverage="0" bottom="0" percent="0" rank="0" text="" dxfId="3">
      <formula>I6&gt;3.6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48"/>
  </cols>
  <sheetData>
    <row r="2" customFormat="false" ht="34.3" hidden="false" customHeight="false" outlineLevel="0" collapsed="false">
      <c r="B2" s="1" t="s">
        <v>91</v>
      </c>
    </row>
    <row r="3" customFormat="false" ht="22.35" hidden="false" customHeight="false" outlineLevel="0" collapsed="false">
      <c r="B3" s="2" t="s">
        <v>92</v>
      </c>
    </row>
    <row r="5" customFormat="false" ht="15" hidden="false" customHeight="false" outlineLevel="0" collapsed="false">
      <c r="B5" s="5" t="s">
        <v>93</v>
      </c>
      <c r="C5" s="5" t="s">
        <v>55</v>
      </c>
      <c r="D5" s="5" t="s">
        <v>94</v>
      </c>
    </row>
    <row r="6" customFormat="false" ht="15" hidden="false" customHeight="false" outlineLevel="0" collapsed="false">
      <c r="B6" s="12" t="s">
        <v>95</v>
      </c>
      <c r="C6" s="8" t="s">
        <v>96</v>
      </c>
      <c r="D6" s="20" t="s">
        <v>97</v>
      </c>
    </row>
    <row r="7" customFormat="false" ht="15" hidden="false" customHeight="false" outlineLevel="0" collapsed="false">
      <c r="B7" s="12" t="s">
        <v>98</v>
      </c>
      <c r="C7" s="8" t="s">
        <v>99</v>
      </c>
      <c r="D7" s="20"/>
    </row>
    <row r="8" customFormat="false" ht="15" hidden="false" customHeight="false" outlineLevel="0" collapsed="false">
      <c r="B8" s="12" t="s">
        <v>100</v>
      </c>
      <c r="C8" s="13" t="n">
        <v>2000</v>
      </c>
      <c r="D8" s="20" t="s">
        <v>101</v>
      </c>
    </row>
    <row r="9" customFormat="false" ht="15" hidden="false" customHeight="false" outlineLevel="0" collapsed="false">
      <c r="B9" s="12" t="s">
        <v>102</v>
      </c>
      <c r="C9" s="13" t="n">
        <v>2000000</v>
      </c>
      <c r="D9" s="20" t="s">
        <v>103</v>
      </c>
    </row>
    <row r="10" customFormat="false" ht="15" hidden="false" customHeight="false" outlineLevel="0" collapsed="false">
      <c r="B10" s="12" t="s">
        <v>104</v>
      </c>
      <c r="C10" s="13" t="n">
        <v>900</v>
      </c>
      <c r="D10" s="20" t="s">
        <v>105</v>
      </c>
    </row>
    <row r="11" customFormat="false" ht="15" hidden="false" customHeight="false" outlineLevel="0" collapsed="false">
      <c r="B11" s="12" t="s">
        <v>106</v>
      </c>
      <c r="C11" s="8" t="s">
        <v>107</v>
      </c>
      <c r="D11" s="20" t="s">
        <v>108</v>
      </c>
    </row>
    <row r="13" customFormat="false" ht="15" hidden="false" customHeight="false" outlineLevel="0" collapsed="false">
      <c r="B13" s="5" t="s">
        <v>109</v>
      </c>
      <c r="C13" s="5" t="s">
        <v>55</v>
      </c>
      <c r="D13" s="5" t="s">
        <v>110</v>
      </c>
    </row>
    <row r="14" customFormat="false" ht="15" hidden="false" customHeight="false" outlineLevel="0" collapsed="false">
      <c r="B14" s="12" t="s">
        <v>111</v>
      </c>
      <c r="C14" s="14" t="n">
        <f aca="false">C10/1000*C8*1000000/1000000</f>
        <v>1800</v>
      </c>
      <c r="D14" s="20" t="s">
        <v>112</v>
      </c>
      <c r="F14" s="12" t="s">
        <v>113</v>
      </c>
      <c r="G14" s="21" t="n">
        <f aca="false">C17</f>
        <v>98.55</v>
      </c>
    </row>
    <row r="15" customFormat="false" ht="15" hidden="false" customHeight="false" outlineLevel="0" collapsed="false">
      <c r="B15" s="12" t="s">
        <v>114</v>
      </c>
      <c r="C15" s="16" t="n">
        <f aca="false">C14/28.316846592</f>
        <v>63.5664000986795</v>
      </c>
      <c r="D15" s="20" t="s">
        <v>115</v>
      </c>
      <c r="F15" s="12" t="s">
        <v>116</v>
      </c>
      <c r="G15" s="21" t="n">
        <f aca="false">C14</f>
        <v>1800</v>
      </c>
    </row>
    <row r="16" customFormat="false" ht="15" hidden="false" customHeight="false" outlineLevel="0" collapsed="false">
      <c r="B16" s="12" t="s">
        <v>117</v>
      </c>
      <c r="C16" s="14" t="n">
        <f aca="false">C14*1000000000/C9/365</f>
        <v>2465.75342465753</v>
      </c>
      <c r="D16" s="20" t="s">
        <v>118</v>
      </c>
    </row>
    <row r="17" customFormat="false" ht="15" hidden="false" customHeight="false" outlineLevel="0" collapsed="false">
      <c r="B17" s="12" t="s">
        <v>119</v>
      </c>
      <c r="C17" s="14" t="n">
        <f aca="false">C9*135*365/1000000000</f>
        <v>98.55</v>
      </c>
      <c r="D17" s="20" t="s">
        <v>120</v>
      </c>
    </row>
    <row r="18" customFormat="false" ht="15" hidden="false" customHeight="false" outlineLevel="0" collapsed="false">
      <c r="B18" s="12" t="s">
        <v>121</v>
      </c>
      <c r="C18" s="22" t="n">
        <f aca="false">C14/C17</f>
        <v>18.2648401826484</v>
      </c>
      <c r="D18" s="20" t="s">
        <v>122</v>
      </c>
    </row>
    <row r="20" customFormat="false" ht="15" hidden="false" customHeight="false" outlineLevel="0" collapsed="false">
      <c r="B20" s="5" t="s">
        <v>123</v>
      </c>
      <c r="C20" s="5" t="s">
        <v>14</v>
      </c>
      <c r="D20" s="5"/>
    </row>
    <row r="21" customFormat="false" ht="42" hidden="false" customHeight="true" outlineLevel="0" collapsed="false">
      <c r="B21" s="7" t="s">
        <v>124</v>
      </c>
      <c r="C21" s="23"/>
      <c r="D21" s="23"/>
    </row>
    <row r="22" customFormat="false" ht="42" hidden="false" customHeight="true" outlineLevel="0" collapsed="false">
      <c r="B22" s="7" t="s">
        <v>125</v>
      </c>
      <c r="C22" s="23"/>
      <c r="D22" s="23"/>
    </row>
    <row r="23" customFormat="false" ht="42" hidden="false" customHeight="true" outlineLevel="0" collapsed="false">
      <c r="B23" s="7" t="s">
        <v>126</v>
      </c>
      <c r="C23" s="23"/>
      <c r="D23" s="23"/>
    </row>
    <row r="25" customFormat="false" ht="15" hidden="false" customHeight="false" outlineLevel="0" collapsed="false">
      <c r="B25" s="6" t="s">
        <v>127</v>
      </c>
      <c r="C25" s="6" t="str">
        <f aca="false">IF(C6="Example district","✗ Replace the example values with your own district",IF(COUNTA(C21:C23)&lt;3,"✗ Answer all three Lab 1 questions","✓ Ready: upload this tab as PDF on CuX"))</f>
        <v>✗ Replace the example values with your own district</v>
      </c>
      <c r="D25" s="6"/>
    </row>
  </sheetData>
  <mergeCells count="4">
    <mergeCell ref="C21:D21"/>
    <mergeCell ref="C22:D22"/>
    <mergeCell ref="C23:D23"/>
    <mergeCell ref="C25:D25"/>
  </mergeCells>
  <conditionalFormatting sqref="C25">
    <cfRule type="expression" priority="2" aboveAverage="0" equalAverage="0" bottom="0" percent="0" rank="0" text="" dxfId="0">
      <formula>LEFT(C25,1)="✓"</formula>
    </cfRule>
    <cfRule type="expression" priority="3" aboveAverage="0" equalAverage="0" bottom="0" percent="0" rank="0" text="" dxfId="1">
      <formula>LEFT(C25,1)="✗"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8"/>
  </cols>
  <sheetData>
    <row r="1" customFormat="false" ht="15" hidden="false" customHeight="false" outlineLevel="0" collapsed="false">
      <c r="A1" s="5" t="s">
        <v>85</v>
      </c>
      <c r="B1" s="5" t="s">
        <v>63</v>
      </c>
      <c r="C1" s="5" t="s">
        <v>128</v>
      </c>
      <c r="D1" s="5" t="s">
        <v>62</v>
      </c>
    </row>
    <row r="2" customFormat="false" ht="15" hidden="false" customHeight="false" outlineLevel="0" collapsed="false">
      <c r="A2" s="24" t="n">
        <v>44927</v>
      </c>
      <c r="B2" s="18" t="n">
        <v>0</v>
      </c>
      <c r="C2" s="19" t="n">
        <v>1.8</v>
      </c>
      <c r="D2" s="12" t="n">
        <f aca="false">MONTH(A2)</f>
        <v>1</v>
      </c>
    </row>
    <row r="3" customFormat="false" ht="15" hidden="false" customHeight="false" outlineLevel="0" collapsed="false">
      <c r="A3" s="24" t="n">
        <v>44928</v>
      </c>
      <c r="B3" s="18" t="n">
        <v>0</v>
      </c>
      <c r="C3" s="19" t="n">
        <v>1.8</v>
      </c>
      <c r="D3" s="12" t="n">
        <f aca="false">MONTH(A3)</f>
        <v>1</v>
      </c>
    </row>
    <row r="4" customFormat="false" ht="15" hidden="false" customHeight="false" outlineLevel="0" collapsed="false">
      <c r="A4" s="24" t="n">
        <v>44929</v>
      </c>
      <c r="B4" s="18" t="n">
        <v>0</v>
      </c>
      <c r="C4" s="19" t="n">
        <v>1.8</v>
      </c>
      <c r="D4" s="12" t="n">
        <f aca="false">MONTH(A4)</f>
        <v>1</v>
      </c>
    </row>
    <row r="5" customFormat="false" ht="15" hidden="false" customHeight="false" outlineLevel="0" collapsed="false">
      <c r="A5" s="24" t="n">
        <v>44930</v>
      </c>
      <c r="B5" s="18" t="n">
        <v>0</v>
      </c>
      <c r="C5" s="19" t="n">
        <v>1.8</v>
      </c>
      <c r="D5" s="12" t="n">
        <f aca="false">MONTH(A5)</f>
        <v>1</v>
      </c>
    </row>
    <row r="6" customFormat="false" ht="15" hidden="false" customHeight="false" outlineLevel="0" collapsed="false">
      <c r="A6" s="24" t="n">
        <v>44931</v>
      </c>
      <c r="B6" s="18" t="n">
        <v>0</v>
      </c>
      <c r="C6" s="19" t="n">
        <v>1.8</v>
      </c>
      <c r="D6" s="12" t="n">
        <f aca="false">MONTH(A6)</f>
        <v>1</v>
      </c>
    </row>
    <row r="7" customFormat="false" ht="15" hidden="false" customHeight="false" outlineLevel="0" collapsed="false">
      <c r="A7" s="24" t="n">
        <v>44932</v>
      </c>
      <c r="B7" s="18" t="n">
        <v>0</v>
      </c>
      <c r="C7" s="19" t="n">
        <v>1.8</v>
      </c>
      <c r="D7" s="12" t="n">
        <f aca="false">MONTH(A7)</f>
        <v>1</v>
      </c>
    </row>
    <row r="8" customFormat="false" ht="15" hidden="false" customHeight="false" outlineLevel="0" collapsed="false">
      <c r="A8" s="24" t="n">
        <v>44933</v>
      </c>
      <c r="B8" s="18" t="n">
        <v>0</v>
      </c>
      <c r="C8" s="19" t="n">
        <v>1.8</v>
      </c>
      <c r="D8" s="12" t="n">
        <f aca="false">MONTH(A8)</f>
        <v>1</v>
      </c>
    </row>
    <row r="9" customFormat="false" ht="15" hidden="false" customHeight="false" outlineLevel="0" collapsed="false">
      <c r="A9" s="24" t="n">
        <v>44934</v>
      </c>
      <c r="B9" s="18" t="n">
        <v>0</v>
      </c>
      <c r="C9" s="19" t="n">
        <v>1.8</v>
      </c>
      <c r="D9" s="12" t="n">
        <f aca="false">MONTH(A9)</f>
        <v>1</v>
      </c>
    </row>
    <row r="10" customFormat="false" ht="15" hidden="false" customHeight="false" outlineLevel="0" collapsed="false">
      <c r="A10" s="24" t="n">
        <v>44935</v>
      </c>
      <c r="B10" s="18" t="n">
        <v>0</v>
      </c>
      <c r="C10" s="19" t="n">
        <v>1.8</v>
      </c>
      <c r="D10" s="12" t="n">
        <f aca="false">MONTH(A10)</f>
        <v>1</v>
      </c>
    </row>
    <row r="11" customFormat="false" ht="15" hidden="false" customHeight="false" outlineLevel="0" collapsed="false">
      <c r="A11" s="24" t="n">
        <v>44936</v>
      </c>
      <c r="B11" s="18" t="n">
        <v>0</v>
      </c>
      <c r="C11" s="19" t="n">
        <v>1.8</v>
      </c>
      <c r="D11" s="12" t="n">
        <f aca="false">MONTH(A11)</f>
        <v>1</v>
      </c>
    </row>
    <row r="12" customFormat="false" ht="15" hidden="false" customHeight="false" outlineLevel="0" collapsed="false">
      <c r="A12" s="24" t="n">
        <v>44937</v>
      </c>
      <c r="B12" s="18" t="n">
        <v>0</v>
      </c>
      <c r="C12" s="19" t="n">
        <v>1.8</v>
      </c>
      <c r="D12" s="12" t="n">
        <f aca="false">MONTH(A12)</f>
        <v>1</v>
      </c>
    </row>
    <row r="13" customFormat="false" ht="15" hidden="false" customHeight="false" outlineLevel="0" collapsed="false">
      <c r="A13" s="24" t="n">
        <v>44938</v>
      </c>
      <c r="B13" s="18" t="n">
        <v>0</v>
      </c>
      <c r="C13" s="19" t="n">
        <v>1.8</v>
      </c>
      <c r="D13" s="12" t="n">
        <f aca="false">MONTH(A13)</f>
        <v>1</v>
      </c>
    </row>
    <row r="14" customFormat="false" ht="15" hidden="false" customHeight="false" outlineLevel="0" collapsed="false">
      <c r="A14" s="24" t="n">
        <v>44939</v>
      </c>
      <c r="B14" s="18" t="n">
        <v>0</v>
      </c>
      <c r="C14" s="19" t="n">
        <v>1.8</v>
      </c>
      <c r="D14" s="12" t="n">
        <f aca="false">MONTH(A14)</f>
        <v>1</v>
      </c>
    </row>
    <row r="15" customFormat="false" ht="15" hidden="false" customHeight="false" outlineLevel="0" collapsed="false">
      <c r="A15" s="24" t="n">
        <v>44940</v>
      </c>
      <c r="B15" s="18" t="n">
        <v>0</v>
      </c>
      <c r="C15" s="19" t="n">
        <v>1.8</v>
      </c>
      <c r="D15" s="12" t="n">
        <f aca="false">MONTH(A15)</f>
        <v>1</v>
      </c>
    </row>
    <row r="16" customFormat="false" ht="15" hidden="false" customHeight="false" outlineLevel="0" collapsed="false">
      <c r="A16" s="24" t="n">
        <v>44941</v>
      </c>
      <c r="B16" s="18" t="n">
        <v>0</v>
      </c>
      <c r="C16" s="19" t="n">
        <v>1.8</v>
      </c>
      <c r="D16" s="12" t="n">
        <f aca="false">MONTH(A16)</f>
        <v>1</v>
      </c>
    </row>
    <row r="17" customFormat="false" ht="15" hidden="false" customHeight="false" outlineLevel="0" collapsed="false">
      <c r="A17" s="24" t="n">
        <v>44942</v>
      </c>
      <c r="B17" s="18" t="n">
        <v>0</v>
      </c>
      <c r="C17" s="19" t="n">
        <v>1.8</v>
      </c>
      <c r="D17" s="12" t="n">
        <f aca="false">MONTH(A17)</f>
        <v>1</v>
      </c>
    </row>
    <row r="18" customFormat="false" ht="15" hidden="false" customHeight="false" outlineLevel="0" collapsed="false">
      <c r="A18" s="24" t="n">
        <v>44943</v>
      </c>
      <c r="B18" s="18" t="n">
        <v>0</v>
      </c>
      <c r="C18" s="19" t="n">
        <v>1.8</v>
      </c>
      <c r="D18" s="12" t="n">
        <f aca="false">MONTH(A18)</f>
        <v>1</v>
      </c>
    </row>
    <row r="19" customFormat="false" ht="15" hidden="false" customHeight="false" outlineLevel="0" collapsed="false">
      <c r="A19" s="24" t="n">
        <v>44944</v>
      </c>
      <c r="B19" s="18" t="n">
        <v>0</v>
      </c>
      <c r="C19" s="19" t="n">
        <v>1.8</v>
      </c>
      <c r="D19" s="12" t="n">
        <f aca="false">MONTH(A19)</f>
        <v>1</v>
      </c>
    </row>
    <row r="20" customFormat="false" ht="15" hidden="false" customHeight="false" outlineLevel="0" collapsed="false">
      <c r="A20" s="24" t="n">
        <v>44945</v>
      </c>
      <c r="B20" s="18" t="n">
        <v>0</v>
      </c>
      <c r="C20" s="19" t="n">
        <v>1.8</v>
      </c>
      <c r="D20" s="12" t="n">
        <f aca="false">MONTH(A20)</f>
        <v>1</v>
      </c>
    </row>
    <row r="21" customFormat="false" ht="15" hidden="false" customHeight="false" outlineLevel="0" collapsed="false">
      <c r="A21" s="24" t="n">
        <v>44946</v>
      </c>
      <c r="B21" s="18" t="n">
        <v>0</v>
      </c>
      <c r="C21" s="19" t="n">
        <v>1.8</v>
      </c>
      <c r="D21" s="12" t="n">
        <f aca="false">MONTH(A21)</f>
        <v>1</v>
      </c>
    </row>
    <row r="22" customFormat="false" ht="15" hidden="false" customHeight="false" outlineLevel="0" collapsed="false">
      <c r="A22" s="24" t="n">
        <v>44947</v>
      </c>
      <c r="B22" s="18" t="n">
        <v>0</v>
      </c>
      <c r="C22" s="19" t="n">
        <v>1.8</v>
      </c>
      <c r="D22" s="12" t="n">
        <f aca="false">MONTH(A22)</f>
        <v>1</v>
      </c>
    </row>
    <row r="23" customFormat="false" ht="15" hidden="false" customHeight="false" outlineLevel="0" collapsed="false">
      <c r="A23" s="24" t="n">
        <v>44948</v>
      </c>
      <c r="B23" s="18" t="n">
        <v>0</v>
      </c>
      <c r="C23" s="19" t="n">
        <v>1.8</v>
      </c>
      <c r="D23" s="12" t="n">
        <f aca="false">MONTH(A23)</f>
        <v>1</v>
      </c>
    </row>
    <row r="24" customFormat="false" ht="15" hidden="false" customHeight="false" outlineLevel="0" collapsed="false">
      <c r="A24" s="24" t="n">
        <v>44949</v>
      </c>
      <c r="B24" s="18" t="n">
        <v>0</v>
      </c>
      <c r="C24" s="19" t="n">
        <v>1.8</v>
      </c>
      <c r="D24" s="12" t="n">
        <f aca="false">MONTH(A24)</f>
        <v>1</v>
      </c>
    </row>
    <row r="25" customFormat="false" ht="15" hidden="false" customHeight="false" outlineLevel="0" collapsed="false">
      <c r="A25" s="24" t="n">
        <v>44950</v>
      </c>
      <c r="B25" s="18" t="n">
        <v>0</v>
      </c>
      <c r="C25" s="19" t="n">
        <v>1.8</v>
      </c>
      <c r="D25" s="12" t="n">
        <f aca="false">MONTH(A25)</f>
        <v>1</v>
      </c>
    </row>
    <row r="26" customFormat="false" ht="15" hidden="false" customHeight="false" outlineLevel="0" collapsed="false">
      <c r="A26" s="24" t="n">
        <v>44951</v>
      </c>
      <c r="B26" s="18" t="n">
        <v>0</v>
      </c>
      <c r="C26" s="19" t="n">
        <v>1.8</v>
      </c>
      <c r="D26" s="12" t="n">
        <f aca="false">MONTH(A26)</f>
        <v>1</v>
      </c>
    </row>
    <row r="27" customFormat="false" ht="15" hidden="false" customHeight="false" outlineLevel="0" collapsed="false">
      <c r="A27" s="24" t="n">
        <v>44952</v>
      </c>
      <c r="B27" s="18" t="n">
        <v>0</v>
      </c>
      <c r="C27" s="19" t="n">
        <v>1.8</v>
      </c>
      <c r="D27" s="12" t="n">
        <f aca="false">MONTH(A27)</f>
        <v>1</v>
      </c>
    </row>
    <row r="28" customFormat="false" ht="15" hidden="false" customHeight="false" outlineLevel="0" collapsed="false">
      <c r="A28" s="24" t="n">
        <v>44953</v>
      </c>
      <c r="B28" s="18" t="n">
        <v>0</v>
      </c>
      <c r="C28" s="19" t="n">
        <v>1.8</v>
      </c>
      <c r="D28" s="12" t="n">
        <f aca="false">MONTH(A28)</f>
        <v>1</v>
      </c>
    </row>
    <row r="29" customFormat="false" ht="15" hidden="false" customHeight="false" outlineLevel="0" collapsed="false">
      <c r="A29" s="24" t="n">
        <v>44954</v>
      </c>
      <c r="B29" s="18" t="n">
        <v>0</v>
      </c>
      <c r="C29" s="19" t="n">
        <v>1.8</v>
      </c>
      <c r="D29" s="12" t="n">
        <f aca="false">MONTH(A29)</f>
        <v>1</v>
      </c>
    </row>
    <row r="30" customFormat="false" ht="15" hidden="false" customHeight="false" outlineLevel="0" collapsed="false">
      <c r="A30" s="24" t="n">
        <v>44955</v>
      </c>
      <c r="B30" s="18" t="n">
        <v>0</v>
      </c>
      <c r="C30" s="19" t="n">
        <v>1.8</v>
      </c>
      <c r="D30" s="12" t="n">
        <f aca="false">MONTH(A30)</f>
        <v>1</v>
      </c>
    </row>
    <row r="31" customFormat="false" ht="15" hidden="false" customHeight="false" outlineLevel="0" collapsed="false">
      <c r="A31" s="24" t="n">
        <v>44956</v>
      </c>
      <c r="B31" s="18" t="n">
        <v>0</v>
      </c>
      <c r="C31" s="19" t="n">
        <v>1.8</v>
      </c>
      <c r="D31" s="12" t="n">
        <f aca="false">MONTH(A31)</f>
        <v>1</v>
      </c>
    </row>
    <row r="32" customFormat="false" ht="15" hidden="false" customHeight="false" outlineLevel="0" collapsed="false">
      <c r="A32" s="24" t="n">
        <v>44957</v>
      </c>
      <c r="B32" s="18" t="n">
        <v>0</v>
      </c>
      <c r="C32" s="19" t="n">
        <v>1.8</v>
      </c>
      <c r="D32" s="12" t="n">
        <f aca="false">MONTH(A32)</f>
        <v>1</v>
      </c>
    </row>
    <row r="33" customFormat="false" ht="15" hidden="false" customHeight="false" outlineLevel="0" collapsed="false">
      <c r="A33" s="24" t="n">
        <v>44958</v>
      </c>
      <c r="B33" s="18" t="n">
        <v>0</v>
      </c>
      <c r="C33" s="19" t="n">
        <v>1.8</v>
      </c>
      <c r="D33" s="12" t="n">
        <f aca="false">MONTH(A33)</f>
        <v>2</v>
      </c>
    </row>
    <row r="34" customFormat="false" ht="15" hidden="false" customHeight="false" outlineLevel="0" collapsed="false">
      <c r="A34" s="24" t="n">
        <v>44959</v>
      </c>
      <c r="B34" s="18" t="n">
        <v>0</v>
      </c>
      <c r="C34" s="19" t="n">
        <v>1.8</v>
      </c>
      <c r="D34" s="12" t="n">
        <f aca="false">MONTH(A34)</f>
        <v>2</v>
      </c>
    </row>
    <row r="35" customFormat="false" ht="15" hidden="false" customHeight="false" outlineLevel="0" collapsed="false">
      <c r="A35" s="24" t="n">
        <v>44960</v>
      </c>
      <c r="B35" s="18" t="n">
        <v>0</v>
      </c>
      <c r="C35" s="19" t="n">
        <v>1.8</v>
      </c>
      <c r="D35" s="12" t="n">
        <f aca="false">MONTH(A35)</f>
        <v>2</v>
      </c>
    </row>
    <row r="36" customFormat="false" ht="15" hidden="false" customHeight="false" outlineLevel="0" collapsed="false">
      <c r="A36" s="24" t="n">
        <v>44961</v>
      </c>
      <c r="B36" s="18" t="n">
        <v>0</v>
      </c>
      <c r="C36" s="19" t="n">
        <v>1.8</v>
      </c>
      <c r="D36" s="12" t="n">
        <f aca="false">MONTH(A36)</f>
        <v>2</v>
      </c>
    </row>
    <row r="37" customFormat="false" ht="15" hidden="false" customHeight="false" outlineLevel="0" collapsed="false">
      <c r="A37" s="24" t="n">
        <v>44962</v>
      </c>
      <c r="B37" s="18" t="n">
        <v>0</v>
      </c>
      <c r="C37" s="19" t="n">
        <v>1.8</v>
      </c>
      <c r="D37" s="12" t="n">
        <f aca="false">MONTH(A37)</f>
        <v>2</v>
      </c>
    </row>
    <row r="38" customFormat="false" ht="15" hidden="false" customHeight="false" outlineLevel="0" collapsed="false">
      <c r="A38" s="24" t="n">
        <v>44963</v>
      </c>
      <c r="B38" s="18" t="n">
        <v>0</v>
      </c>
      <c r="C38" s="19" t="n">
        <v>1.8</v>
      </c>
      <c r="D38" s="12" t="n">
        <f aca="false">MONTH(A38)</f>
        <v>2</v>
      </c>
    </row>
    <row r="39" customFormat="false" ht="15" hidden="false" customHeight="false" outlineLevel="0" collapsed="false">
      <c r="A39" s="24" t="n">
        <v>44964</v>
      </c>
      <c r="B39" s="18" t="n">
        <v>0</v>
      </c>
      <c r="C39" s="19" t="n">
        <v>1.8</v>
      </c>
      <c r="D39" s="12" t="n">
        <f aca="false">MONTH(A39)</f>
        <v>2</v>
      </c>
    </row>
    <row r="40" customFormat="false" ht="15" hidden="false" customHeight="false" outlineLevel="0" collapsed="false">
      <c r="A40" s="24" t="n">
        <v>44965</v>
      </c>
      <c r="B40" s="18" t="n">
        <v>0</v>
      </c>
      <c r="C40" s="19" t="n">
        <v>1.8</v>
      </c>
      <c r="D40" s="12" t="n">
        <f aca="false">MONTH(A40)</f>
        <v>2</v>
      </c>
    </row>
    <row r="41" customFormat="false" ht="15" hidden="false" customHeight="false" outlineLevel="0" collapsed="false">
      <c r="A41" s="24" t="n">
        <v>44966</v>
      </c>
      <c r="B41" s="18" t="n">
        <v>0</v>
      </c>
      <c r="C41" s="19" t="n">
        <v>1.8</v>
      </c>
      <c r="D41" s="12" t="n">
        <f aca="false">MONTH(A41)</f>
        <v>2</v>
      </c>
    </row>
    <row r="42" customFormat="false" ht="15" hidden="false" customHeight="false" outlineLevel="0" collapsed="false">
      <c r="A42" s="24" t="n">
        <v>44967</v>
      </c>
      <c r="B42" s="18" t="n">
        <v>0</v>
      </c>
      <c r="C42" s="19" t="n">
        <v>1.8</v>
      </c>
      <c r="D42" s="12" t="n">
        <f aca="false">MONTH(A42)</f>
        <v>2</v>
      </c>
    </row>
    <row r="43" customFormat="false" ht="15" hidden="false" customHeight="false" outlineLevel="0" collapsed="false">
      <c r="A43" s="24" t="n">
        <v>44968</v>
      </c>
      <c r="B43" s="18" t="n">
        <v>0</v>
      </c>
      <c r="C43" s="19" t="n">
        <v>1.8</v>
      </c>
      <c r="D43" s="12" t="n">
        <f aca="false">MONTH(A43)</f>
        <v>2</v>
      </c>
    </row>
    <row r="44" customFormat="false" ht="15" hidden="false" customHeight="false" outlineLevel="0" collapsed="false">
      <c r="A44" s="24" t="n">
        <v>44969</v>
      </c>
      <c r="B44" s="18" t="n">
        <v>0</v>
      </c>
      <c r="C44" s="19" t="n">
        <v>1.8</v>
      </c>
      <c r="D44" s="12" t="n">
        <f aca="false">MONTH(A44)</f>
        <v>2</v>
      </c>
    </row>
    <row r="45" customFormat="false" ht="15" hidden="false" customHeight="false" outlineLevel="0" collapsed="false">
      <c r="A45" s="24" t="n">
        <v>44970</v>
      </c>
      <c r="B45" s="18" t="n">
        <v>0</v>
      </c>
      <c r="C45" s="19" t="n">
        <v>1.8</v>
      </c>
      <c r="D45" s="12" t="n">
        <f aca="false">MONTH(A45)</f>
        <v>2</v>
      </c>
    </row>
    <row r="46" customFormat="false" ht="15" hidden="false" customHeight="false" outlineLevel="0" collapsed="false">
      <c r="A46" s="24" t="n">
        <v>44971</v>
      </c>
      <c r="B46" s="18" t="n">
        <v>0</v>
      </c>
      <c r="C46" s="19" t="n">
        <v>1.8</v>
      </c>
      <c r="D46" s="12" t="n">
        <f aca="false">MONTH(A46)</f>
        <v>2</v>
      </c>
    </row>
    <row r="47" customFormat="false" ht="15" hidden="false" customHeight="false" outlineLevel="0" collapsed="false">
      <c r="A47" s="24" t="n">
        <v>44972</v>
      </c>
      <c r="B47" s="18" t="n">
        <v>0</v>
      </c>
      <c r="C47" s="19" t="n">
        <v>1.8</v>
      </c>
      <c r="D47" s="12" t="n">
        <f aca="false">MONTH(A47)</f>
        <v>2</v>
      </c>
    </row>
    <row r="48" customFormat="false" ht="15" hidden="false" customHeight="false" outlineLevel="0" collapsed="false">
      <c r="A48" s="24" t="n">
        <v>44973</v>
      </c>
      <c r="B48" s="18" t="n">
        <v>0</v>
      </c>
      <c r="C48" s="19" t="n">
        <v>1.8</v>
      </c>
      <c r="D48" s="12" t="n">
        <f aca="false">MONTH(A48)</f>
        <v>2</v>
      </c>
    </row>
    <row r="49" customFormat="false" ht="15" hidden="false" customHeight="false" outlineLevel="0" collapsed="false">
      <c r="A49" s="24" t="n">
        <v>44974</v>
      </c>
      <c r="B49" s="18" t="n">
        <v>0</v>
      </c>
      <c r="C49" s="19" t="n">
        <v>1.8</v>
      </c>
      <c r="D49" s="12" t="n">
        <f aca="false">MONTH(A49)</f>
        <v>2</v>
      </c>
    </row>
    <row r="50" customFormat="false" ht="15" hidden="false" customHeight="false" outlineLevel="0" collapsed="false">
      <c r="A50" s="24" t="n">
        <v>44975</v>
      </c>
      <c r="B50" s="18" t="n">
        <v>0</v>
      </c>
      <c r="C50" s="19" t="n">
        <v>1.8</v>
      </c>
      <c r="D50" s="12" t="n">
        <f aca="false">MONTH(A50)</f>
        <v>2</v>
      </c>
    </row>
    <row r="51" customFormat="false" ht="15" hidden="false" customHeight="false" outlineLevel="0" collapsed="false">
      <c r="A51" s="24" t="n">
        <v>44976</v>
      </c>
      <c r="B51" s="18" t="n">
        <v>0</v>
      </c>
      <c r="C51" s="19" t="n">
        <v>1.8</v>
      </c>
      <c r="D51" s="12" t="n">
        <f aca="false">MONTH(A51)</f>
        <v>2</v>
      </c>
    </row>
    <row r="52" customFormat="false" ht="15" hidden="false" customHeight="false" outlineLevel="0" collapsed="false">
      <c r="A52" s="24" t="n">
        <v>44977</v>
      </c>
      <c r="B52" s="18" t="n">
        <v>0</v>
      </c>
      <c r="C52" s="19" t="n">
        <v>1.8</v>
      </c>
      <c r="D52" s="12" t="n">
        <f aca="false">MONTH(A52)</f>
        <v>2</v>
      </c>
    </row>
    <row r="53" customFormat="false" ht="15" hidden="false" customHeight="false" outlineLevel="0" collapsed="false">
      <c r="A53" s="24" t="n">
        <v>44978</v>
      </c>
      <c r="B53" s="18" t="n">
        <v>0</v>
      </c>
      <c r="C53" s="19" t="n">
        <v>1.8</v>
      </c>
      <c r="D53" s="12" t="n">
        <f aca="false">MONTH(A53)</f>
        <v>2</v>
      </c>
    </row>
    <row r="54" customFormat="false" ht="15" hidden="false" customHeight="false" outlineLevel="0" collapsed="false">
      <c r="A54" s="24" t="n">
        <v>44979</v>
      </c>
      <c r="B54" s="18" t="n">
        <v>0</v>
      </c>
      <c r="C54" s="19" t="n">
        <v>1.8</v>
      </c>
      <c r="D54" s="12" t="n">
        <f aca="false">MONTH(A54)</f>
        <v>2</v>
      </c>
    </row>
    <row r="55" customFormat="false" ht="15" hidden="false" customHeight="false" outlineLevel="0" collapsed="false">
      <c r="A55" s="24" t="n">
        <v>44980</v>
      </c>
      <c r="B55" s="18" t="n">
        <v>0</v>
      </c>
      <c r="C55" s="19" t="n">
        <v>1.8</v>
      </c>
      <c r="D55" s="12" t="n">
        <f aca="false">MONTH(A55)</f>
        <v>2</v>
      </c>
    </row>
    <row r="56" customFormat="false" ht="15" hidden="false" customHeight="false" outlineLevel="0" collapsed="false">
      <c r="A56" s="24" t="n">
        <v>44981</v>
      </c>
      <c r="B56" s="18" t="n">
        <v>0</v>
      </c>
      <c r="C56" s="19" t="n">
        <v>1.8</v>
      </c>
      <c r="D56" s="12" t="n">
        <f aca="false">MONTH(A56)</f>
        <v>2</v>
      </c>
    </row>
    <row r="57" customFormat="false" ht="15" hidden="false" customHeight="false" outlineLevel="0" collapsed="false">
      <c r="A57" s="24" t="n">
        <v>44982</v>
      </c>
      <c r="B57" s="18" t="n">
        <v>0</v>
      </c>
      <c r="C57" s="19" t="n">
        <v>1.8</v>
      </c>
      <c r="D57" s="12" t="n">
        <f aca="false">MONTH(A57)</f>
        <v>2</v>
      </c>
    </row>
    <row r="58" customFormat="false" ht="15" hidden="false" customHeight="false" outlineLevel="0" collapsed="false">
      <c r="A58" s="24" t="n">
        <v>44983</v>
      </c>
      <c r="B58" s="18" t="n">
        <v>0</v>
      </c>
      <c r="C58" s="19" t="n">
        <v>1.8</v>
      </c>
      <c r="D58" s="12" t="n">
        <f aca="false">MONTH(A58)</f>
        <v>2</v>
      </c>
    </row>
    <row r="59" customFormat="false" ht="15" hidden="false" customHeight="false" outlineLevel="0" collapsed="false">
      <c r="A59" s="24" t="n">
        <v>44984</v>
      </c>
      <c r="B59" s="18" t="n">
        <v>0</v>
      </c>
      <c r="C59" s="19" t="n">
        <v>1.8</v>
      </c>
      <c r="D59" s="12" t="n">
        <f aca="false">MONTH(A59)</f>
        <v>2</v>
      </c>
    </row>
    <row r="60" customFormat="false" ht="15" hidden="false" customHeight="false" outlineLevel="0" collapsed="false">
      <c r="A60" s="24" t="n">
        <v>44985</v>
      </c>
      <c r="B60" s="18" t="n">
        <v>0</v>
      </c>
      <c r="C60" s="19" t="n">
        <v>1.8</v>
      </c>
      <c r="D60" s="12" t="n">
        <f aca="false">MONTH(A60)</f>
        <v>2</v>
      </c>
    </row>
    <row r="61" customFormat="false" ht="15" hidden="false" customHeight="false" outlineLevel="0" collapsed="false">
      <c r="A61" s="24" t="n">
        <v>44986</v>
      </c>
      <c r="B61" s="18" t="n">
        <v>0</v>
      </c>
      <c r="C61" s="19" t="n">
        <v>1.8</v>
      </c>
      <c r="D61" s="12" t="n">
        <f aca="false">MONTH(A61)</f>
        <v>3</v>
      </c>
    </row>
    <row r="62" customFormat="false" ht="15" hidden="false" customHeight="false" outlineLevel="0" collapsed="false">
      <c r="A62" s="24" t="n">
        <v>44987</v>
      </c>
      <c r="B62" s="18" t="n">
        <v>1.8</v>
      </c>
      <c r="C62" s="19" t="n">
        <v>1.8</v>
      </c>
      <c r="D62" s="12" t="n">
        <f aca="false">MONTH(A62)</f>
        <v>3</v>
      </c>
    </row>
    <row r="63" customFormat="false" ht="15" hidden="false" customHeight="false" outlineLevel="0" collapsed="false">
      <c r="A63" s="24" t="n">
        <v>44988</v>
      </c>
      <c r="B63" s="18" t="n">
        <v>0</v>
      </c>
      <c r="C63" s="19" t="n">
        <v>1.8</v>
      </c>
      <c r="D63" s="12" t="n">
        <f aca="false">MONTH(A63)</f>
        <v>3</v>
      </c>
    </row>
    <row r="64" customFormat="false" ht="15" hidden="false" customHeight="false" outlineLevel="0" collapsed="false">
      <c r="A64" s="24" t="n">
        <v>44989</v>
      </c>
      <c r="B64" s="18" t="n">
        <v>0</v>
      </c>
      <c r="C64" s="19" t="n">
        <v>1.8</v>
      </c>
      <c r="D64" s="12" t="n">
        <f aca="false">MONTH(A64)</f>
        <v>3</v>
      </c>
    </row>
    <row r="65" customFormat="false" ht="15" hidden="false" customHeight="false" outlineLevel="0" collapsed="false">
      <c r="A65" s="24" t="n">
        <v>44990</v>
      </c>
      <c r="B65" s="18" t="n">
        <v>0</v>
      </c>
      <c r="C65" s="19" t="n">
        <v>1.8</v>
      </c>
      <c r="D65" s="12" t="n">
        <f aca="false">MONTH(A65)</f>
        <v>3</v>
      </c>
    </row>
    <row r="66" customFormat="false" ht="15" hidden="false" customHeight="false" outlineLevel="0" collapsed="false">
      <c r="A66" s="24" t="n">
        <v>44991</v>
      </c>
      <c r="B66" s="18" t="n">
        <v>0</v>
      </c>
      <c r="C66" s="19" t="n">
        <v>1.8</v>
      </c>
      <c r="D66" s="12" t="n">
        <f aca="false">MONTH(A66)</f>
        <v>3</v>
      </c>
    </row>
    <row r="67" customFormat="false" ht="15" hidden="false" customHeight="false" outlineLevel="0" collapsed="false">
      <c r="A67" s="24" t="n">
        <v>44992</v>
      </c>
      <c r="B67" s="18" t="n">
        <v>0</v>
      </c>
      <c r="C67" s="19" t="n">
        <v>1.8</v>
      </c>
      <c r="D67" s="12" t="n">
        <f aca="false">MONTH(A67)</f>
        <v>3</v>
      </c>
    </row>
    <row r="68" customFormat="false" ht="15" hidden="false" customHeight="false" outlineLevel="0" collapsed="false">
      <c r="A68" s="24" t="n">
        <v>44993</v>
      </c>
      <c r="B68" s="18" t="n">
        <v>0</v>
      </c>
      <c r="C68" s="19" t="n">
        <v>1.8</v>
      </c>
      <c r="D68" s="12" t="n">
        <f aca="false">MONTH(A68)</f>
        <v>3</v>
      </c>
    </row>
    <row r="69" customFormat="false" ht="15" hidden="false" customHeight="false" outlineLevel="0" collapsed="false">
      <c r="A69" s="24" t="n">
        <v>44994</v>
      </c>
      <c r="B69" s="18" t="n">
        <v>0</v>
      </c>
      <c r="C69" s="19" t="n">
        <v>1.8</v>
      </c>
      <c r="D69" s="12" t="n">
        <f aca="false">MONTH(A69)</f>
        <v>3</v>
      </c>
    </row>
    <row r="70" customFormat="false" ht="15" hidden="false" customHeight="false" outlineLevel="0" collapsed="false">
      <c r="A70" s="24" t="n">
        <v>44995</v>
      </c>
      <c r="B70" s="18" t="n">
        <v>0</v>
      </c>
      <c r="C70" s="19" t="n">
        <v>1.8</v>
      </c>
      <c r="D70" s="12" t="n">
        <f aca="false">MONTH(A70)</f>
        <v>3</v>
      </c>
    </row>
    <row r="71" customFormat="false" ht="15" hidden="false" customHeight="false" outlineLevel="0" collapsed="false">
      <c r="A71" s="24" t="n">
        <v>44996</v>
      </c>
      <c r="B71" s="18" t="n">
        <v>0</v>
      </c>
      <c r="C71" s="19" t="n">
        <v>1.8</v>
      </c>
      <c r="D71" s="12" t="n">
        <f aca="false">MONTH(A71)</f>
        <v>3</v>
      </c>
    </row>
    <row r="72" customFormat="false" ht="15" hidden="false" customHeight="false" outlineLevel="0" collapsed="false">
      <c r="A72" s="24" t="n">
        <v>44997</v>
      </c>
      <c r="B72" s="18" t="n">
        <v>0</v>
      </c>
      <c r="C72" s="19" t="n">
        <v>1.8</v>
      </c>
      <c r="D72" s="12" t="n">
        <f aca="false">MONTH(A72)</f>
        <v>3</v>
      </c>
    </row>
    <row r="73" customFormat="false" ht="15" hidden="false" customHeight="false" outlineLevel="0" collapsed="false">
      <c r="A73" s="24" t="n">
        <v>44998</v>
      </c>
      <c r="B73" s="18" t="n">
        <v>0</v>
      </c>
      <c r="C73" s="19" t="n">
        <v>1.8</v>
      </c>
      <c r="D73" s="12" t="n">
        <f aca="false">MONTH(A73)</f>
        <v>3</v>
      </c>
    </row>
    <row r="74" customFormat="false" ht="15" hidden="false" customHeight="false" outlineLevel="0" collapsed="false">
      <c r="A74" s="24" t="n">
        <v>44999</v>
      </c>
      <c r="B74" s="18" t="n">
        <v>0</v>
      </c>
      <c r="C74" s="19" t="n">
        <v>1.8</v>
      </c>
      <c r="D74" s="12" t="n">
        <f aca="false">MONTH(A74)</f>
        <v>3</v>
      </c>
    </row>
    <row r="75" customFormat="false" ht="15" hidden="false" customHeight="false" outlineLevel="0" collapsed="false">
      <c r="A75" s="24" t="n">
        <v>45000</v>
      </c>
      <c r="B75" s="18" t="n">
        <v>0</v>
      </c>
      <c r="C75" s="19" t="n">
        <v>1.8</v>
      </c>
      <c r="D75" s="12" t="n">
        <f aca="false">MONTH(A75)</f>
        <v>3</v>
      </c>
    </row>
    <row r="76" customFormat="false" ht="15" hidden="false" customHeight="false" outlineLevel="0" collapsed="false">
      <c r="A76" s="24" t="n">
        <v>45001</v>
      </c>
      <c r="B76" s="18" t="n">
        <v>0</v>
      </c>
      <c r="C76" s="19" t="n">
        <v>1.8</v>
      </c>
      <c r="D76" s="12" t="n">
        <f aca="false">MONTH(A76)</f>
        <v>3</v>
      </c>
    </row>
    <row r="77" customFormat="false" ht="15" hidden="false" customHeight="false" outlineLevel="0" collapsed="false">
      <c r="A77" s="24" t="n">
        <v>45002</v>
      </c>
      <c r="B77" s="18" t="n">
        <v>0</v>
      </c>
      <c r="C77" s="19" t="n">
        <v>1.8</v>
      </c>
      <c r="D77" s="12" t="n">
        <f aca="false">MONTH(A77)</f>
        <v>3</v>
      </c>
    </row>
    <row r="78" customFormat="false" ht="15" hidden="false" customHeight="false" outlineLevel="0" collapsed="false">
      <c r="A78" s="24" t="n">
        <v>45003</v>
      </c>
      <c r="B78" s="18" t="n">
        <v>0</v>
      </c>
      <c r="C78" s="19" t="n">
        <v>1.8</v>
      </c>
      <c r="D78" s="12" t="n">
        <f aca="false">MONTH(A78)</f>
        <v>3</v>
      </c>
    </row>
    <row r="79" customFormat="false" ht="15" hidden="false" customHeight="false" outlineLevel="0" collapsed="false">
      <c r="A79" s="24" t="n">
        <v>45004</v>
      </c>
      <c r="B79" s="18" t="n">
        <v>0</v>
      </c>
      <c r="C79" s="19" t="n">
        <v>1.8</v>
      </c>
      <c r="D79" s="12" t="n">
        <f aca="false">MONTH(A79)</f>
        <v>3</v>
      </c>
    </row>
    <row r="80" customFormat="false" ht="15" hidden="false" customHeight="false" outlineLevel="0" collapsed="false">
      <c r="A80" s="24" t="n">
        <v>45005</v>
      </c>
      <c r="B80" s="18" t="n">
        <v>0</v>
      </c>
      <c r="C80" s="19" t="n">
        <v>1.8</v>
      </c>
      <c r="D80" s="12" t="n">
        <f aca="false">MONTH(A80)</f>
        <v>3</v>
      </c>
    </row>
    <row r="81" customFormat="false" ht="15" hidden="false" customHeight="false" outlineLevel="0" collapsed="false">
      <c r="A81" s="24" t="n">
        <v>45006</v>
      </c>
      <c r="B81" s="18" t="n">
        <v>0</v>
      </c>
      <c r="C81" s="19" t="n">
        <v>1.8</v>
      </c>
      <c r="D81" s="12" t="n">
        <f aca="false">MONTH(A81)</f>
        <v>3</v>
      </c>
    </row>
    <row r="82" customFormat="false" ht="15" hidden="false" customHeight="false" outlineLevel="0" collapsed="false">
      <c r="A82" s="24" t="n">
        <v>45007</v>
      </c>
      <c r="B82" s="18" t="n">
        <v>0</v>
      </c>
      <c r="C82" s="19" t="n">
        <v>1.8</v>
      </c>
      <c r="D82" s="12" t="n">
        <f aca="false">MONTH(A82)</f>
        <v>3</v>
      </c>
    </row>
    <row r="83" customFormat="false" ht="15" hidden="false" customHeight="false" outlineLevel="0" collapsed="false">
      <c r="A83" s="24" t="n">
        <v>45008</v>
      </c>
      <c r="B83" s="18" t="n">
        <v>0</v>
      </c>
      <c r="C83" s="19" t="n">
        <v>1.8</v>
      </c>
      <c r="D83" s="12" t="n">
        <f aca="false">MONTH(A83)</f>
        <v>3</v>
      </c>
    </row>
    <row r="84" customFormat="false" ht="15" hidden="false" customHeight="false" outlineLevel="0" collapsed="false">
      <c r="A84" s="24" t="n">
        <v>45009</v>
      </c>
      <c r="B84" s="18" t="n">
        <v>0</v>
      </c>
      <c r="C84" s="19" t="n">
        <v>1.8</v>
      </c>
      <c r="D84" s="12" t="n">
        <f aca="false">MONTH(A84)</f>
        <v>3</v>
      </c>
    </row>
    <row r="85" customFormat="false" ht="15" hidden="false" customHeight="false" outlineLevel="0" collapsed="false">
      <c r="A85" s="24" t="n">
        <v>45010</v>
      </c>
      <c r="B85" s="18" t="n">
        <v>0</v>
      </c>
      <c r="C85" s="19" t="n">
        <v>1.8</v>
      </c>
      <c r="D85" s="12" t="n">
        <f aca="false">MONTH(A85)</f>
        <v>3</v>
      </c>
    </row>
    <row r="86" customFormat="false" ht="15" hidden="false" customHeight="false" outlineLevel="0" collapsed="false">
      <c r="A86" s="24" t="n">
        <v>45011</v>
      </c>
      <c r="B86" s="18" t="n">
        <v>0</v>
      </c>
      <c r="C86" s="19" t="n">
        <v>1.8</v>
      </c>
      <c r="D86" s="12" t="n">
        <f aca="false">MONTH(A86)</f>
        <v>3</v>
      </c>
    </row>
    <row r="87" customFormat="false" ht="15" hidden="false" customHeight="false" outlineLevel="0" collapsed="false">
      <c r="A87" s="24" t="n">
        <v>45012</v>
      </c>
      <c r="B87" s="18" t="n">
        <v>0</v>
      </c>
      <c r="C87" s="19" t="n">
        <v>1.8</v>
      </c>
      <c r="D87" s="12" t="n">
        <f aca="false">MONTH(A87)</f>
        <v>3</v>
      </c>
    </row>
    <row r="88" customFormat="false" ht="15" hidden="false" customHeight="false" outlineLevel="0" collapsed="false">
      <c r="A88" s="24" t="n">
        <v>45013</v>
      </c>
      <c r="B88" s="18" t="n">
        <v>0</v>
      </c>
      <c r="C88" s="19" t="n">
        <v>1.8</v>
      </c>
      <c r="D88" s="12" t="n">
        <f aca="false">MONTH(A88)</f>
        <v>3</v>
      </c>
    </row>
    <row r="89" customFormat="false" ht="15" hidden="false" customHeight="false" outlineLevel="0" collapsed="false">
      <c r="A89" s="24" t="n">
        <v>45014</v>
      </c>
      <c r="B89" s="18" t="n">
        <v>0</v>
      </c>
      <c r="C89" s="19" t="n">
        <v>1.8</v>
      </c>
      <c r="D89" s="12" t="n">
        <f aca="false">MONTH(A89)</f>
        <v>3</v>
      </c>
    </row>
    <row r="90" customFormat="false" ht="15" hidden="false" customHeight="false" outlineLevel="0" collapsed="false">
      <c r="A90" s="24" t="n">
        <v>45015</v>
      </c>
      <c r="B90" s="18" t="n">
        <v>0</v>
      </c>
      <c r="C90" s="19" t="n">
        <v>1.8</v>
      </c>
      <c r="D90" s="12" t="n">
        <f aca="false">MONTH(A90)</f>
        <v>3</v>
      </c>
    </row>
    <row r="91" customFormat="false" ht="15" hidden="false" customHeight="false" outlineLevel="0" collapsed="false">
      <c r="A91" s="24" t="n">
        <v>45016</v>
      </c>
      <c r="B91" s="18" t="n">
        <v>0</v>
      </c>
      <c r="C91" s="19" t="n">
        <v>1.8</v>
      </c>
      <c r="D91" s="12" t="n">
        <f aca="false">MONTH(A91)</f>
        <v>3</v>
      </c>
    </row>
    <row r="92" customFormat="false" ht="15" hidden="false" customHeight="false" outlineLevel="0" collapsed="false">
      <c r="A92" s="24" t="n">
        <v>45017</v>
      </c>
      <c r="B92" s="18" t="n">
        <v>0</v>
      </c>
      <c r="C92" s="19" t="n">
        <v>1.8</v>
      </c>
      <c r="D92" s="12" t="n">
        <f aca="false">MONTH(A92)</f>
        <v>4</v>
      </c>
    </row>
    <row r="93" customFormat="false" ht="15" hidden="false" customHeight="false" outlineLevel="0" collapsed="false">
      <c r="A93" s="24" t="n">
        <v>45018</v>
      </c>
      <c r="B93" s="18" t="n">
        <v>0</v>
      </c>
      <c r="C93" s="19" t="n">
        <v>1.8</v>
      </c>
      <c r="D93" s="12" t="n">
        <f aca="false">MONTH(A93)</f>
        <v>4</v>
      </c>
    </row>
    <row r="94" customFormat="false" ht="15" hidden="false" customHeight="false" outlineLevel="0" collapsed="false">
      <c r="A94" s="24" t="n">
        <v>45019</v>
      </c>
      <c r="B94" s="18" t="n">
        <v>0</v>
      </c>
      <c r="C94" s="19" t="n">
        <v>1.8</v>
      </c>
      <c r="D94" s="12" t="n">
        <f aca="false">MONTH(A94)</f>
        <v>4</v>
      </c>
    </row>
    <row r="95" customFormat="false" ht="15" hidden="false" customHeight="false" outlineLevel="0" collapsed="false">
      <c r="A95" s="24" t="n">
        <v>45020</v>
      </c>
      <c r="B95" s="18" t="n">
        <v>0</v>
      </c>
      <c r="C95" s="19" t="n">
        <v>1.8</v>
      </c>
      <c r="D95" s="12" t="n">
        <f aca="false">MONTH(A95)</f>
        <v>4</v>
      </c>
    </row>
    <row r="96" customFormat="false" ht="15" hidden="false" customHeight="false" outlineLevel="0" collapsed="false">
      <c r="A96" s="24" t="n">
        <v>45021</v>
      </c>
      <c r="B96" s="18" t="n">
        <v>0</v>
      </c>
      <c r="C96" s="19" t="n">
        <v>1.8</v>
      </c>
      <c r="D96" s="12" t="n">
        <f aca="false">MONTH(A96)</f>
        <v>4</v>
      </c>
    </row>
    <row r="97" customFormat="false" ht="15" hidden="false" customHeight="false" outlineLevel="0" collapsed="false">
      <c r="A97" s="24" t="n">
        <v>45022</v>
      </c>
      <c r="B97" s="18" t="n">
        <v>0</v>
      </c>
      <c r="C97" s="19" t="n">
        <v>1.8</v>
      </c>
      <c r="D97" s="12" t="n">
        <f aca="false">MONTH(A97)</f>
        <v>4</v>
      </c>
    </row>
    <row r="98" customFormat="false" ht="15" hidden="false" customHeight="false" outlineLevel="0" collapsed="false">
      <c r="A98" s="24" t="n">
        <v>45023</v>
      </c>
      <c r="B98" s="18" t="n">
        <v>0</v>
      </c>
      <c r="C98" s="19" t="n">
        <v>1.8</v>
      </c>
      <c r="D98" s="12" t="n">
        <f aca="false">MONTH(A98)</f>
        <v>4</v>
      </c>
    </row>
    <row r="99" customFormat="false" ht="15" hidden="false" customHeight="false" outlineLevel="0" collapsed="false">
      <c r="A99" s="24" t="n">
        <v>45024</v>
      </c>
      <c r="B99" s="18" t="n">
        <v>0</v>
      </c>
      <c r="C99" s="19" t="n">
        <v>1.8</v>
      </c>
      <c r="D99" s="12" t="n">
        <f aca="false">MONTH(A99)</f>
        <v>4</v>
      </c>
    </row>
    <row r="100" customFormat="false" ht="15" hidden="false" customHeight="false" outlineLevel="0" collapsed="false">
      <c r="A100" s="24" t="n">
        <v>45025</v>
      </c>
      <c r="B100" s="18" t="n">
        <v>0</v>
      </c>
      <c r="C100" s="19" t="n">
        <v>1.8</v>
      </c>
      <c r="D100" s="12" t="n">
        <f aca="false">MONTH(A100)</f>
        <v>4</v>
      </c>
    </row>
    <row r="101" customFormat="false" ht="15" hidden="false" customHeight="false" outlineLevel="0" collapsed="false">
      <c r="A101" s="24" t="n">
        <v>45026</v>
      </c>
      <c r="B101" s="18" t="n">
        <v>0</v>
      </c>
      <c r="C101" s="19" t="n">
        <v>1.8</v>
      </c>
      <c r="D101" s="12" t="n">
        <f aca="false">MONTH(A101)</f>
        <v>4</v>
      </c>
    </row>
    <row r="102" customFormat="false" ht="15" hidden="false" customHeight="false" outlineLevel="0" collapsed="false">
      <c r="A102" s="24" t="n">
        <v>45027</v>
      </c>
      <c r="B102" s="18" t="n">
        <v>0</v>
      </c>
      <c r="C102" s="19" t="n">
        <v>1.8</v>
      </c>
      <c r="D102" s="12" t="n">
        <f aca="false">MONTH(A102)</f>
        <v>4</v>
      </c>
    </row>
    <row r="103" customFormat="false" ht="15" hidden="false" customHeight="false" outlineLevel="0" collapsed="false">
      <c r="A103" s="24" t="n">
        <v>45028</v>
      </c>
      <c r="B103" s="18" t="n">
        <v>0</v>
      </c>
      <c r="C103" s="19" t="n">
        <v>1.8</v>
      </c>
      <c r="D103" s="12" t="n">
        <f aca="false">MONTH(A103)</f>
        <v>4</v>
      </c>
    </row>
    <row r="104" customFormat="false" ht="15" hidden="false" customHeight="false" outlineLevel="0" collapsed="false">
      <c r="A104" s="24" t="n">
        <v>45029</v>
      </c>
      <c r="B104" s="18" t="n">
        <v>16.6</v>
      </c>
      <c r="C104" s="19" t="n">
        <v>1.93</v>
      </c>
      <c r="D104" s="12" t="n">
        <f aca="false">MONTH(A104)</f>
        <v>4</v>
      </c>
    </row>
    <row r="105" customFormat="false" ht="15" hidden="false" customHeight="false" outlineLevel="0" collapsed="false">
      <c r="A105" s="24" t="n">
        <v>45030</v>
      </c>
      <c r="B105" s="18" t="n">
        <v>0.6</v>
      </c>
      <c r="C105" s="19" t="n">
        <v>1.98</v>
      </c>
      <c r="D105" s="12" t="n">
        <f aca="false">MONTH(A105)</f>
        <v>4</v>
      </c>
    </row>
    <row r="106" customFormat="false" ht="15" hidden="false" customHeight="false" outlineLevel="0" collapsed="false">
      <c r="A106" s="24" t="n">
        <v>45031</v>
      </c>
      <c r="B106" s="18" t="n">
        <v>18.1</v>
      </c>
      <c r="C106" s="19" t="n">
        <v>2.14</v>
      </c>
      <c r="D106" s="12" t="n">
        <f aca="false">MONTH(A106)</f>
        <v>4</v>
      </c>
    </row>
    <row r="107" customFormat="false" ht="15" hidden="false" customHeight="false" outlineLevel="0" collapsed="false">
      <c r="A107" s="24" t="n">
        <v>45032</v>
      </c>
      <c r="B107" s="18" t="n">
        <v>19.8</v>
      </c>
      <c r="C107" s="19" t="n">
        <v>2.35</v>
      </c>
      <c r="D107" s="12" t="n">
        <f aca="false">MONTH(A107)</f>
        <v>4</v>
      </c>
    </row>
    <row r="108" customFormat="false" ht="15" hidden="false" customHeight="false" outlineLevel="0" collapsed="false">
      <c r="A108" s="24" t="n">
        <v>45033</v>
      </c>
      <c r="B108" s="18" t="n">
        <v>0</v>
      </c>
      <c r="C108" s="19" t="n">
        <v>2.42</v>
      </c>
      <c r="D108" s="12" t="n">
        <f aca="false">MONTH(A108)</f>
        <v>4</v>
      </c>
    </row>
    <row r="109" customFormat="false" ht="15" hidden="false" customHeight="false" outlineLevel="0" collapsed="false">
      <c r="A109" s="24" t="n">
        <v>45034</v>
      </c>
      <c r="B109" s="18" t="n">
        <v>0</v>
      </c>
      <c r="C109" s="19" t="n">
        <v>2.41</v>
      </c>
      <c r="D109" s="12" t="n">
        <f aca="false">MONTH(A109)</f>
        <v>4</v>
      </c>
    </row>
    <row r="110" customFormat="false" ht="15" hidden="false" customHeight="false" outlineLevel="0" collapsed="false">
      <c r="A110" s="24" t="n">
        <v>45035</v>
      </c>
      <c r="B110" s="18" t="n">
        <v>14.4</v>
      </c>
      <c r="C110" s="19" t="n">
        <v>2.46</v>
      </c>
      <c r="D110" s="12" t="n">
        <f aca="false">MONTH(A110)</f>
        <v>4</v>
      </c>
    </row>
    <row r="111" customFormat="false" ht="15" hidden="false" customHeight="false" outlineLevel="0" collapsed="false">
      <c r="A111" s="24" t="n">
        <v>45036</v>
      </c>
      <c r="B111" s="18" t="n">
        <v>0</v>
      </c>
      <c r="C111" s="19" t="n">
        <v>2.44</v>
      </c>
      <c r="D111" s="12" t="n">
        <f aca="false">MONTH(A111)</f>
        <v>4</v>
      </c>
    </row>
    <row r="112" customFormat="false" ht="15" hidden="false" customHeight="false" outlineLevel="0" collapsed="false">
      <c r="A112" s="24" t="n">
        <v>45037</v>
      </c>
      <c r="B112" s="18" t="n">
        <v>0</v>
      </c>
      <c r="C112" s="19" t="n">
        <v>2.38</v>
      </c>
      <c r="D112" s="12" t="n">
        <f aca="false">MONTH(A112)</f>
        <v>4</v>
      </c>
    </row>
    <row r="113" customFormat="false" ht="15" hidden="false" customHeight="false" outlineLevel="0" collapsed="false">
      <c r="A113" s="24" t="n">
        <v>45038</v>
      </c>
      <c r="B113" s="18" t="n">
        <v>5.8</v>
      </c>
      <c r="C113" s="19" t="n">
        <v>2.32</v>
      </c>
      <c r="D113" s="12" t="n">
        <f aca="false">MONTH(A113)</f>
        <v>4</v>
      </c>
    </row>
    <row r="114" customFormat="false" ht="15" hidden="false" customHeight="false" outlineLevel="0" collapsed="false">
      <c r="A114" s="24" t="n">
        <v>45039</v>
      </c>
      <c r="B114" s="18" t="n">
        <v>0</v>
      </c>
      <c r="C114" s="19" t="n">
        <v>2.26</v>
      </c>
      <c r="D114" s="12" t="n">
        <f aca="false">MONTH(A114)</f>
        <v>4</v>
      </c>
    </row>
    <row r="115" customFormat="false" ht="15" hidden="false" customHeight="false" outlineLevel="0" collapsed="false">
      <c r="A115" s="24" t="n">
        <v>45040</v>
      </c>
      <c r="B115" s="18" t="n">
        <v>0</v>
      </c>
      <c r="C115" s="19" t="n">
        <v>2.19</v>
      </c>
      <c r="D115" s="12" t="n">
        <f aca="false">MONTH(A115)</f>
        <v>4</v>
      </c>
    </row>
    <row r="116" customFormat="false" ht="15" hidden="false" customHeight="false" outlineLevel="0" collapsed="false">
      <c r="A116" s="24" t="n">
        <v>45041</v>
      </c>
      <c r="B116" s="18" t="n">
        <v>0</v>
      </c>
      <c r="C116" s="19" t="n">
        <v>2.13</v>
      </c>
      <c r="D116" s="12" t="n">
        <f aca="false">MONTH(A116)</f>
        <v>4</v>
      </c>
    </row>
    <row r="117" customFormat="false" ht="15" hidden="false" customHeight="false" outlineLevel="0" collapsed="false">
      <c r="A117" s="24" t="n">
        <v>45042</v>
      </c>
      <c r="B117" s="18" t="n">
        <v>0</v>
      </c>
      <c r="C117" s="19" t="n">
        <v>2.08</v>
      </c>
      <c r="D117" s="12" t="n">
        <f aca="false">MONTH(A117)</f>
        <v>4</v>
      </c>
    </row>
    <row r="118" customFormat="false" ht="15" hidden="false" customHeight="false" outlineLevel="0" collapsed="false">
      <c r="A118" s="24" t="n">
        <v>45043</v>
      </c>
      <c r="B118" s="18" t="n">
        <v>0</v>
      </c>
      <c r="C118" s="19" t="n">
        <v>2.03</v>
      </c>
      <c r="D118" s="12" t="n">
        <f aca="false">MONTH(A118)</f>
        <v>4</v>
      </c>
    </row>
    <row r="119" customFormat="false" ht="15" hidden="false" customHeight="false" outlineLevel="0" collapsed="false">
      <c r="A119" s="24" t="n">
        <v>45044</v>
      </c>
      <c r="B119" s="18" t="n">
        <v>4.9</v>
      </c>
      <c r="C119" s="19" t="n">
        <v>1.99</v>
      </c>
      <c r="D119" s="12" t="n">
        <f aca="false">MONTH(A119)</f>
        <v>4</v>
      </c>
    </row>
    <row r="120" customFormat="false" ht="15" hidden="false" customHeight="false" outlineLevel="0" collapsed="false">
      <c r="A120" s="24" t="n">
        <v>45045</v>
      </c>
      <c r="B120" s="18" t="n">
        <v>0</v>
      </c>
      <c r="C120" s="19" t="n">
        <v>1.96</v>
      </c>
      <c r="D120" s="12" t="n">
        <f aca="false">MONTH(A120)</f>
        <v>4</v>
      </c>
    </row>
    <row r="121" customFormat="false" ht="15" hidden="false" customHeight="false" outlineLevel="0" collapsed="false">
      <c r="A121" s="24" t="n">
        <v>45046</v>
      </c>
      <c r="B121" s="18" t="n">
        <v>0</v>
      </c>
      <c r="C121" s="19" t="n">
        <v>1.93</v>
      </c>
      <c r="D121" s="12" t="n">
        <f aca="false">MONTH(A121)</f>
        <v>4</v>
      </c>
    </row>
    <row r="122" customFormat="false" ht="15" hidden="false" customHeight="false" outlineLevel="0" collapsed="false">
      <c r="A122" s="24" t="n">
        <v>45047</v>
      </c>
      <c r="B122" s="18" t="n">
        <v>0</v>
      </c>
      <c r="C122" s="19" t="n">
        <v>1.91</v>
      </c>
      <c r="D122" s="12" t="n">
        <f aca="false">MONTH(A122)</f>
        <v>5</v>
      </c>
    </row>
    <row r="123" customFormat="false" ht="15" hidden="false" customHeight="false" outlineLevel="0" collapsed="false">
      <c r="A123" s="24" t="n">
        <v>45048</v>
      </c>
      <c r="B123" s="18" t="n">
        <v>12.4</v>
      </c>
      <c r="C123" s="19" t="n">
        <v>1.97</v>
      </c>
      <c r="D123" s="12" t="n">
        <f aca="false">MONTH(A123)</f>
        <v>5</v>
      </c>
    </row>
    <row r="124" customFormat="false" ht="15" hidden="false" customHeight="false" outlineLevel="0" collapsed="false">
      <c r="A124" s="24" t="n">
        <v>45049</v>
      </c>
      <c r="B124" s="18" t="n">
        <v>0</v>
      </c>
      <c r="C124" s="19" t="n">
        <v>1.99</v>
      </c>
      <c r="D124" s="12" t="n">
        <f aca="false">MONTH(A124)</f>
        <v>5</v>
      </c>
    </row>
    <row r="125" customFormat="false" ht="15" hidden="false" customHeight="false" outlineLevel="0" collapsed="false">
      <c r="A125" s="24" t="n">
        <v>45050</v>
      </c>
      <c r="B125" s="18" t="n">
        <v>0</v>
      </c>
      <c r="C125" s="19" t="n">
        <v>1.98</v>
      </c>
      <c r="D125" s="12" t="n">
        <f aca="false">MONTH(A125)</f>
        <v>5</v>
      </c>
    </row>
    <row r="126" customFormat="false" ht="15" hidden="false" customHeight="false" outlineLevel="0" collapsed="false">
      <c r="A126" s="24" t="n">
        <v>45051</v>
      </c>
      <c r="B126" s="18" t="n">
        <v>0</v>
      </c>
      <c r="C126" s="19" t="n">
        <v>1.97</v>
      </c>
      <c r="D126" s="12" t="n">
        <f aca="false">MONTH(A126)</f>
        <v>5</v>
      </c>
    </row>
    <row r="127" customFormat="false" ht="15" hidden="false" customHeight="false" outlineLevel="0" collapsed="false">
      <c r="A127" s="24" t="n">
        <v>45052</v>
      </c>
      <c r="B127" s="18" t="n">
        <v>3.6</v>
      </c>
      <c r="C127" s="19" t="n">
        <v>1.95</v>
      </c>
      <c r="D127" s="12" t="n">
        <f aca="false">MONTH(A127)</f>
        <v>5</v>
      </c>
    </row>
    <row r="128" customFormat="false" ht="15" hidden="false" customHeight="false" outlineLevel="0" collapsed="false">
      <c r="A128" s="24" t="n">
        <v>45053</v>
      </c>
      <c r="B128" s="18" t="n">
        <v>0</v>
      </c>
      <c r="C128" s="19" t="n">
        <v>1.93</v>
      </c>
      <c r="D128" s="12" t="n">
        <f aca="false">MONTH(A128)</f>
        <v>5</v>
      </c>
    </row>
    <row r="129" customFormat="false" ht="15" hidden="false" customHeight="false" outlineLevel="0" collapsed="false">
      <c r="A129" s="24" t="n">
        <v>45054</v>
      </c>
      <c r="B129" s="18" t="n">
        <v>0</v>
      </c>
      <c r="C129" s="19" t="n">
        <v>1.91</v>
      </c>
      <c r="D129" s="12" t="n">
        <f aca="false">MONTH(A129)</f>
        <v>5</v>
      </c>
    </row>
    <row r="130" customFormat="false" ht="15" hidden="false" customHeight="false" outlineLevel="0" collapsed="false">
      <c r="A130" s="24" t="n">
        <v>45055</v>
      </c>
      <c r="B130" s="18" t="n">
        <v>11.6</v>
      </c>
      <c r="C130" s="19" t="n">
        <v>1.96</v>
      </c>
      <c r="D130" s="12" t="n">
        <f aca="false">MONTH(A130)</f>
        <v>5</v>
      </c>
    </row>
    <row r="131" customFormat="false" ht="15" hidden="false" customHeight="false" outlineLevel="0" collapsed="false">
      <c r="A131" s="24" t="n">
        <v>45056</v>
      </c>
      <c r="B131" s="18" t="n">
        <v>0</v>
      </c>
      <c r="C131" s="19" t="n">
        <v>1.98</v>
      </c>
      <c r="D131" s="12" t="n">
        <f aca="false">MONTH(A131)</f>
        <v>5</v>
      </c>
    </row>
    <row r="132" customFormat="false" ht="15" hidden="false" customHeight="false" outlineLevel="0" collapsed="false">
      <c r="A132" s="24" t="n">
        <v>45057</v>
      </c>
      <c r="B132" s="18" t="n">
        <v>0</v>
      </c>
      <c r="C132" s="19" t="n">
        <v>1.97</v>
      </c>
      <c r="D132" s="12" t="n">
        <f aca="false">MONTH(A132)</f>
        <v>5</v>
      </c>
    </row>
    <row r="133" customFormat="false" ht="15" hidden="false" customHeight="false" outlineLevel="0" collapsed="false">
      <c r="A133" s="24" t="n">
        <v>45058</v>
      </c>
      <c r="B133" s="18" t="n">
        <v>9.4</v>
      </c>
      <c r="C133" s="19" t="n">
        <v>2.01</v>
      </c>
      <c r="D133" s="12" t="n">
        <f aca="false">MONTH(A133)</f>
        <v>5</v>
      </c>
    </row>
    <row r="134" customFormat="false" ht="15" hidden="false" customHeight="false" outlineLevel="0" collapsed="false">
      <c r="A134" s="24" t="n">
        <v>45059</v>
      </c>
      <c r="B134" s="18" t="n">
        <v>12.1</v>
      </c>
      <c r="C134" s="19" t="n">
        <v>2.09</v>
      </c>
      <c r="D134" s="12" t="n">
        <f aca="false">MONTH(A134)</f>
        <v>5</v>
      </c>
    </row>
    <row r="135" customFormat="false" ht="15" hidden="false" customHeight="false" outlineLevel="0" collapsed="false">
      <c r="A135" s="24" t="n">
        <v>45060</v>
      </c>
      <c r="B135" s="18" t="n">
        <v>0</v>
      </c>
      <c r="C135" s="19" t="n">
        <v>2.11</v>
      </c>
      <c r="D135" s="12" t="n">
        <f aca="false">MONTH(A135)</f>
        <v>5</v>
      </c>
    </row>
    <row r="136" customFormat="false" ht="15" hidden="false" customHeight="false" outlineLevel="0" collapsed="false">
      <c r="A136" s="24" t="n">
        <v>45061</v>
      </c>
      <c r="B136" s="18" t="n">
        <v>0</v>
      </c>
      <c r="C136" s="19" t="n">
        <v>2.09</v>
      </c>
      <c r="D136" s="12" t="n">
        <f aca="false">MONTH(A136)</f>
        <v>5</v>
      </c>
    </row>
    <row r="137" customFormat="false" ht="15" hidden="false" customHeight="false" outlineLevel="0" collapsed="false">
      <c r="A137" s="24" t="n">
        <v>45062</v>
      </c>
      <c r="B137" s="18" t="n">
        <v>0.1</v>
      </c>
      <c r="C137" s="19" t="n">
        <v>2.07</v>
      </c>
      <c r="D137" s="12" t="n">
        <f aca="false">MONTH(A137)</f>
        <v>5</v>
      </c>
    </row>
    <row r="138" customFormat="false" ht="15" hidden="false" customHeight="false" outlineLevel="0" collapsed="false">
      <c r="A138" s="24" t="n">
        <v>45063</v>
      </c>
      <c r="B138" s="18" t="n">
        <v>3</v>
      </c>
      <c r="C138" s="19" t="n">
        <v>2.03</v>
      </c>
      <c r="D138" s="12" t="n">
        <f aca="false">MONTH(A138)</f>
        <v>5</v>
      </c>
    </row>
    <row r="139" customFormat="false" ht="15" hidden="false" customHeight="false" outlineLevel="0" collapsed="false">
      <c r="A139" s="24" t="n">
        <v>45064</v>
      </c>
      <c r="B139" s="18" t="n">
        <v>24.9</v>
      </c>
      <c r="C139" s="19" t="n">
        <v>2.22</v>
      </c>
      <c r="D139" s="12" t="n">
        <f aca="false">MONTH(A139)</f>
        <v>5</v>
      </c>
    </row>
    <row r="140" customFormat="false" ht="15" hidden="false" customHeight="false" outlineLevel="0" collapsed="false">
      <c r="A140" s="24" t="n">
        <v>45065</v>
      </c>
      <c r="B140" s="18" t="n">
        <v>0</v>
      </c>
      <c r="C140" s="19" t="n">
        <v>2.28</v>
      </c>
      <c r="D140" s="12" t="n">
        <f aca="false">MONTH(A140)</f>
        <v>5</v>
      </c>
    </row>
    <row r="141" customFormat="false" ht="15" hidden="false" customHeight="false" outlineLevel="0" collapsed="false">
      <c r="A141" s="24" t="n">
        <v>45066</v>
      </c>
      <c r="B141" s="18" t="n">
        <v>0</v>
      </c>
      <c r="C141" s="19" t="n">
        <v>2.28</v>
      </c>
      <c r="D141" s="12" t="n">
        <f aca="false">MONTH(A141)</f>
        <v>5</v>
      </c>
    </row>
    <row r="142" customFormat="false" ht="15" hidden="false" customHeight="false" outlineLevel="0" collapsed="false">
      <c r="A142" s="24" t="n">
        <v>45067</v>
      </c>
      <c r="B142" s="18" t="n">
        <v>0</v>
      </c>
      <c r="C142" s="19" t="n">
        <v>2.24</v>
      </c>
      <c r="D142" s="12" t="n">
        <f aca="false">MONTH(A142)</f>
        <v>5</v>
      </c>
    </row>
    <row r="143" customFormat="false" ht="15" hidden="false" customHeight="false" outlineLevel="0" collapsed="false">
      <c r="A143" s="24" t="n">
        <v>45068</v>
      </c>
      <c r="B143" s="18" t="n">
        <v>0</v>
      </c>
      <c r="C143" s="19" t="n">
        <v>2.19</v>
      </c>
      <c r="D143" s="12" t="n">
        <f aca="false">MONTH(A143)</f>
        <v>5</v>
      </c>
    </row>
    <row r="144" customFormat="false" ht="15" hidden="false" customHeight="false" outlineLevel="0" collapsed="false">
      <c r="A144" s="24" t="n">
        <v>45069</v>
      </c>
      <c r="B144" s="18" t="n">
        <v>0</v>
      </c>
      <c r="C144" s="19" t="n">
        <v>2.14</v>
      </c>
      <c r="D144" s="12" t="n">
        <f aca="false">MONTH(A144)</f>
        <v>5</v>
      </c>
    </row>
    <row r="145" customFormat="false" ht="15" hidden="false" customHeight="false" outlineLevel="0" collapsed="false">
      <c r="A145" s="24" t="n">
        <v>45070</v>
      </c>
      <c r="B145" s="18" t="n">
        <v>5.7</v>
      </c>
      <c r="C145" s="19" t="n">
        <v>2.09</v>
      </c>
      <c r="D145" s="12" t="n">
        <f aca="false">MONTH(A145)</f>
        <v>5</v>
      </c>
    </row>
    <row r="146" customFormat="false" ht="15" hidden="false" customHeight="false" outlineLevel="0" collapsed="false">
      <c r="A146" s="24" t="n">
        <v>45071</v>
      </c>
      <c r="B146" s="18" t="n">
        <v>0</v>
      </c>
      <c r="C146" s="19" t="n">
        <v>2.05</v>
      </c>
      <c r="D146" s="12" t="n">
        <f aca="false">MONTH(A146)</f>
        <v>5</v>
      </c>
    </row>
    <row r="147" customFormat="false" ht="15" hidden="false" customHeight="false" outlineLevel="0" collapsed="false">
      <c r="A147" s="24" t="n">
        <v>45072</v>
      </c>
      <c r="B147" s="18" t="n">
        <v>0</v>
      </c>
      <c r="C147" s="19" t="n">
        <v>2.01</v>
      </c>
      <c r="D147" s="12" t="n">
        <f aca="false">MONTH(A147)</f>
        <v>5</v>
      </c>
    </row>
    <row r="148" customFormat="false" ht="15" hidden="false" customHeight="false" outlineLevel="0" collapsed="false">
      <c r="A148" s="24" t="n">
        <v>45073</v>
      </c>
      <c r="B148" s="18" t="n">
        <v>0</v>
      </c>
      <c r="C148" s="19" t="n">
        <v>1.98</v>
      </c>
      <c r="D148" s="12" t="n">
        <f aca="false">MONTH(A148)</f>
        <v>5</v>
      </c>
    </row>
    <row r="149" customFormat="false" ht="15" hidden="false" customHeight="false" outlineLevel="0" collapsed="false">
      <c r="A149" s="24" t="n">
        <v>45074</v>
      </c>
      <c r="B149" s="18" t="n">
        <v>0</v>
      </c>
      <c r="C149" s="19" t="n">
        <v>1.95</v>
      </c>
      <c r="D149" s="12" t="n">
        <f aca="false">MONTH(A149)</f>
        <v>5</v>
      </c>
    </row>
    <row r="150" customFormat="false" ht="15" hidden="false" customHeight="false" outlineLevel="0" collapsed="false">
      <c r="A150" s="24" t="n">
        <v>45075</v>
      </c>
      <c r="B150" s="18" t="n">
        <v>13.4</v>
      </c>
      <c r="C150" s="19" t="n">
        <v>2.02</v>
      </c>
      <c r="D150" s="12" t="n">
        <f aca="false">MONTH(A150)</f>
        <v>5</v>
      </c>
    </row>
    <row r="151" customFormat="false" ht="15" hidden="false" customHeight="false" outlineLevel="0" collapsed="false">
      <c r="A151" s="24" t="n">
        <v>45076</v>
      </c>
      <c r="B151" s="18" t="n">
        <v>26.6</v>
      </c>
      <c r="C151" s="19" t="n">
        <v>2.27</v>
      </c>
      <c r="D151" s="12" t="n">
        <f aca="false">MONTH(A151)</f>
        <v>5</v>
      </c>
    </row>
    <row r="152" customFormat="false" ht="15" hidden="false" customHeight="false" outlineLevel="0" collapsed="false">
      <c r="A152" s="24" t="n">
        <v>45077</v>
      </c>
      <c r="B152" s="18" t="n">
        <v>1.5</v>
      </c>
      <c r="C152" s="19" t="n">
        <v>2.36</v>
      </c>
      <c r="D152" s="12" t="n">
        <f aca="false">MONTH(A152)</f>
        <v>5</v>
      </c>
    </row>
    <row r="153" customFormat="false" ht="15" hidden="false" customHeight="false" outlineLevel="0" collapsed="false">
      <c r="A153" s="24" t="n">
        <v>45078</v>
      </c>
      <c r="B153" s="18" t="n">
        <v>0</v>
      </c>
      <c r="C153" s="19" t="n">
        <v>2.37</v>
      </c>
      <c r="D153" s="12" t="n">
        <f aca="false">MONTH(A153)</f>
        <v>6</v>
      </c>
    </row>
    <row r="154" customFormat="false" ht="15" hidden="false" customHeight="false" outlineLevel="0" collapsed="false">
      <c r="A154" s="24" t="n">
        <v>45079</v>
      </c>
      <c r="B154" s="18" t="n">
        <v>20.5</v>
      </c>
      <c r="C154" s="19" t="n">
        <v>2.5</v>
      </c>
      <c r="D154" s="12" t="n">
        <f aca="false">MONTH(A154)</f>
        <v>6</v>
      </c>
    </row>
    <row r="155" customFormat="false" ht="15" hidden="false" customHeight="false" outlineLevel="0" collapsed="false">
      <c r="A155" s="24" t="n">
        <v>45080</v>
      </c>
      <c r="B155" s="18" t="n">
        <v>0.5</v>
      </c>
      <c r="C155" s="19" t="n">
        <v>2.51</v>
      </c>
      <c r="D155" s="12" t="n">
        <f aca="false">MONTH(A155)</f>
        <v>6</v>
      </c>
    </row>
    <row r="156" customFormat="false" ht="15" hidden="false" customHeight="false" outlineLevel="0" collapsed="false">
      <c r="A156" s="24" t="n">
        <v>45081</v>
      </c>
      <c r="B156" s="18" t="n">
        <v>1.6</v>
      </c>
      <c r="C156" s="19" t="n">
        <v>2.47</v>
      </c>
      <c r="D156" s="12" t="n">
        <f aca="false">MONTH(A156)</f>
        <v>6</v>
      </c>
    </row>
    <row r="157" customFormat="false" ht="15" hidden="false" customHeight="false" outlineLevel="0" collapsed="false">
      <c r="A157" s="24" t="n">
        <v>45082</v>
      </c>
      <c r="B157" s="18" t="n">
        <v>0</v>
      </c>
      <c r="C157" s="19" t="n">
        <v>2.4</v>
      </c>
      <c r="D157" s="12" t="n">
        <f aca="false">MONTH(A157)</f>
        <v>6</v>
      </c>
    </row>
    <row r="158" customFormat="false" ht="15" hidden="false" customHeight="false" outlineLevel="0" collapsed="false">
      <c r="A158" s="24" t="n">
        <v>45083</v>
      </c>
      <c r="B158" s="18" t="n">
        <v>0.5</v>
      </c>
      <c r="C158" s="19" t="n">
        <v>2.32</v>
      </c>
      <c r="D158" s="12" t="n">
        <f aca="false">MONTH(A158)</f>
        <v>6</v>
      </c>
    </row>
    <row r="159" customFormat="false" ht="15" hidden="false" customHeight="false" outlineLevel="0" collapsed="false">
      <c r="A159" s="24" t="n">
        <v>45084</v>
      </c>
      <c r="B159" s="18" t="n">
        <v>0.2</v>
      </c>
      <c r="C159" s="19" t="n">
        <v>2.25</v>
      </c>
      <c r="D159" s="12" t="n">
        <f aca="false">MONTH(A159)</f>
        <v>6</v>
      </c>
    </row>
    <row r="160" customFormat="false" ht="15" hidden="false" customHeight="false" outlineLevel="0" collapsed="false">
      <c r="A160" s="24" t="n">
        <v>45085</v>
      </c>
      <c r="B160" s="18" t="n">
        <v>0</v>
      </c>
      <c r="C160" s="19" t="n">
        <v>2.18</v>
      </c>
      <c r="D160" s="12" t="n">
        <f aca="false">MONTH(A160)</f>
        <v>6</v>
      </c>
    </row>
    <row r="161" customFormat="false" ht="15" hidden="false" customHeight="false" outlineLevel="0" collapsed="false">
      <c r="A161" s="24" t="n">
        <v>45086</v>
      </c>
      <c r="B161" s="18" t="n">
        <v>0</v>
      </c>
      <c r="C161" s="19" t="n">
        <v>2.12</v>
      </c>
      <c r="D161" s="12" t="n">
        <f aca="false">MONTH(A161)</f>
        <v>6</v>
      </c>
    </row>
    <row r="162" customFormat="false" ht="15" hidden="false" customHeight="false" outlineLevel="0" collapsed="false">
      <c r="A162" s="24" t="n">
        <v>45087</v>
      </c>
      <c r="B162" s="18" t="n">
        <v>0</v>
      </c>
      <c r="C162" s="19" t="n">
        <v>2.06</v>
      </c>
      <c r="D162" s="12" t="n">
        <f aca="false">MONTH(A162)</f>
        <v>6</v>
      </c>
    </row>
    <row r="163" customFormat="false" ht="15" hidden="false" customHeight="false" outlineLevel="0" collapsed="false">
      <c r="A163" s="24" t="n">
        <v>45088</v>
      </c>
      <c r="B163" s="18" t="n">
        <v>5</v>
      </c>
      <c r="C163" s="19" t="n">
        <v>2.02</v>
      </c>
      <c r="D163" s="12" t="n">
        <f aca="false">MONTH(A163)</f>
        <v>6</v>
      </c>
    </row>
    <row r="164" customFormat="false" ht="15" hidden="false" customHeight="false" outlineLevel="0" collapsed="false">
      <c r="A164" s="24" t="n">
        <v>45089</v>
      </c>
      <c r="B164" s="18" t="n">
        <v>0</v>
      </c>
      <c r="C164" s="19" t="n">
        <v>1.98</v>
      </c>
      <c r="D164" s="12" t="n">
        <f aca="false">MONTH(A164)</f>
        <v>6</v>
      </c>
    </row>
    <row r="165" customFormat="false" ht="15" hidden="false" customHeight="false" outlineLevel="0" collapsed="false">
      <c r="A165" s="24" t="n">
        <v>45090</v>
      </c>
      <c r="B165" s="18" t="n">
        <v>0</v>
      </c>
      <c r="C165" s="19" t="n">
        <v>1.95</v>
      </c>
      <c r="D165" s="12" t="n">
        <f aca="false">MONTH(A165)</f>
        <v>6</v>
      </c>
    </row>
    <row r="166" customFormat="false" ht="15" hidden="false" customHeight="false" outlineLevel="0" collapsed="false">
      <c r="A166" s="24" t="n">
        <v>45091</v>
      </c>
      <c r="B166" s="18" t="n">
        <v>3.9</v>
      </c>
      <c r="C166" s="19" t="n">
        <v>1.92</v>
      </c>
      <c r="D166" s="12" t="n">
        <f aca="false">MONTH(A166)</f>
        <v>6</v>
      </c>
    </row>
    <row r="167" customFormat="false" ht="15" hidden="false" customHeight="false" outlineLevel="0" collapsed="false">
      <c r="A167" s="24" t="n">
        <v>45092</v>
      </c>
      <c r="B167" s="18" t="n">
        <v>8.1</v>
      </c>
      <c r="C167" s="19" t="n">
        <v>1.93</v>
      </c>
      <c r="D167" s="12" t="n">
        <f aca="false">MONTH(A167)</f>
        <v>6</v>
      </c>
    </row>
    <row r="168" customFormat="false" ht="15" hidden="false" customHeight="false" outlineLevel="0" collapsed="false">
      <c r="A168" s="24" t="n">
        <v>45093</v>
      </c>
      <c r="B168" s="18" t="n">
        <v>0</v>
      </c>
      <c r="C168" s="19" t="n">
        <v>1.93</v>
      </c>
      <c r="D168" s="12" t="n">
        <f aca="false">MONTH(A168)</f>
        <v>6</v>
      </c>
    </row>
    <row r="169" customFormat="false" ht="15" hidden="false" customHeight="false" outlineLevel="0" collapsed="false">
      <c r="A169" s="24" t="n">
        <v>45094</v>
      </c>
      <c r="B169" s="18" t="n">
        <v>0</v>
      </c>
      <c r="C169" s="19" t="n">
        <v>1.92</v>
      </c>
      <c r="D169" s="12" t="n">
        <f aca="false">MONTH(A169)</f>
        <v>6</v>
      </c>
    </row>
    <row r="170" customFormat="false" ht="15" hidden="false" customHeight="false" outlineLevel="0" collapsed="false">
      <c r="A170" s="24" t="n">
        <v>45095</v>
      </c>
      <c r="B170" s="18" t="n">
        <v>15.2</v>
      </c>
      <c r="C170" s="19" t="n">
        <v>2.02</v>
      </c>
      <c r="D170" s="12" t="n">
        <f aca="false">MONTH(A170)</f>
        <v>6</v>
      </c>
    </row>
    <row r="171" customFormat="false" ht="15" hidden="false" customHeight="false" outlineLevel="0" collapsed="false">
      <c r="A171" s="24" t="n">
        <v>45096</v>
      </c>
      <c r="B171" s="18" t="n">
        <v>0</v>
      </c>
      <c r="C171" s="19" t="n">
        <v>2.05</v>
      </c>
      <c r="D171" s="12" t="n">
        <f aca="false">MONTH(A171)</f>
        <v>6</v>
      </c>
    </row>
    <row r="172" customFormat="false" ht="15" hidden="false" customHeight="false" outlineLevel="0" collapsed="false">
      <c r="A172" s="24" t="n">
        <v>45097</v>
      </c>
      <c r="B172" s="18" t="n">
        <v>0</v>
      </c>
      <c r="C172" s="19" t="n">
        <v>2.05</v>
      </c>
      <c r="D172" s="12" t="n">
        <f aca="false">MONTH(A172)</f>
        <v>6</v>
      </c>
    </row>
    <row r="173" customFormat="false" ht="15" hidden="false" customHeight="false" outlineLevel="0" collapsed="false">
      <c r="A173" s="24" t="n">
        <v>45098</v>
      </c>
      <c r="B173" s="18" t="n">
        <v>7.9</v>
      </c>
      <c r="C173" s="19" t="n">
        <v>2.06</v>
      </c>
      <c r="D173" s="12" t="n">
        <f aca="false">MONTH(A173)</f>
        <v>6</v>
      </c>
    </row>
    <row r="174" customFormat="false" ht="15" hidden="false" customHeight="false" outlineLevel="0" collapsed="false">
      <c r="A174" s="24" t="n">
        <v>45099</v>
      </c>
      <c r="B174" s="18" t="n">
        <v>0</v>
      </c>
      <c r="C174" s="19" t="n">
        <v>2.05</v>
      </c>
      <c r="D174" s="12" t="n">
        <f aca="false">MONTH(A174)</f>
        <v>6</v>
      </c>
    </row>
    <row r="175" customFormat="false" ht="15" hidden="false" customHeight="false" outlineLevel="0" collapsed="false">
      <c r="A175" s="24" t="n">
        <v>45100</v>
      </c>
      <c r="B175" s="18" t="n">
        <v>12.6</v>
      </c>
      <c r="C175" s="19" t="n">
        <v>2.11</v>
      </c>
      <c r="D175" s="12" t="n">
        <f aca="false">MONTH(A175)</f>
        <v>6</v>
      </c>
    </row>
    <row r="176" customFormat="false" ht="15" hidden="false" customHeight="false" outlineLevel="0" collapsed="false">
      <c r="A176" s="24" t="n">
        <v>45101</v>
      </c>
      <c r="B176" s="18" t="n">
        <v>0</v>
      </c>
      <c r="C176" s="19" t="n">
        <v>2.12</v>
      </c>
      <c r="D176" s="12" t="n">
        <f aca="false">MONTH(A176)</f>
        <v>6</v>
      </c>
    </row>
    <row r="177" customFormat="false" ht="15" hidden="false" customHeight="false" outlineLevel="0" collapsed="false">
      <c r="A177" s="24" t="n">
        <v>45102</v>
      </c>
      <c r="B177" s="18" t="n">
        <v>0</v>
      </c>
      <c r="C177" s="19" t="n">
        <v>2.1</v>
      </c>
      <c r="D177" s="12" t="n">
        <f aca="false">MONTH(A177)</f>
        <v>6</v>
      </c>
    </row>
    <row r="178" customFormat="false" ht="15" hidden="false" customHeight="false" outlineLevel="0" collapsed="false">
      <c r="A178" s="24" t="n">
        <v>45103</v>
      </c>
      <c r="B178" s="18" t="n">
        <v>0</v>
      </c>
      <c r="C178" s="19" t="n">
        <v>2.07</v>
      </c>
      <c r="D178" s="12" t="n">
        <f aca="false">MONTH(A178)</f>
        <v>6</v>
      </c>
    </row>
    <row r="179" customFormat="false" ht="15" hidden="false" customHeight="false" outlineLevel="0" collapsed="false">
      <c r="A179" s="24" t="n">
        <v>45104</v>
      </c>
      <c r="B179" s="18" t="n">
        <v>0</v>
      </c>
      <c r="C179" s="19" t="n">
        <v>2.03</v>
      </c>
      <c r="D179" s="12" t="n">
        <f aca="false">MONTH(A179)</f>
        <v>6</v>
      </c>
    </row>
    <row r="180" customFormat="false" ht="15" hidden="false" customHeight="false" outlineLevel="0" collapsed="false">
      <c r="A180" s="24" t="n">
        <v>45105</v>
      </c>
      <c r="B180" s="18" t="n">
        <v>0</v>
      </c>
      <c r="C180" s="19" t="n">
        <v>2</v>
      </c>
      <c r="D180" s="12" t="n">
        <f aca="false">MONTH(A180)</f>
        <v>6</v>
      </c>
    </row>
    <row r="181" customFormat="false" ht="15" hidden="false" customHeight="false" outlineLevel="0" collapsed="false">
      <c r="A181" s="24" t="n">
        <v>45106</v>
      </c>
      <c r="B181" s="18" t="n">
        <v>2.7</v>
      </c>
      <c r="C181" s="19" t="n">
        <v>1.97</v>
      </c>
      <c r="D181" s="12" t="n">
        <f aca="false">MONTH(A181)</f>
        <v>6</v>
      </c>
    </row>
    <row r="182" customFormat="false" ht="15" hidden="false" customHeight="false" outlineLevel="0" collapsed="false">
      <c r="A182" s="24" t="n">
        <v>45107</v>
      </c>
      <c r="B182" s="18" t="n">
        <v>0</v>
      </c>
      <c r="C182" s="19" t="n">
        <v>1.94</v>
      </c>
      <c r="D182" s="12" t="n">
        <f aca="false">MONTH(A182)</f>
        <v>6</v>
      </c>
    </row>
    <row r="183" customFormat="false" ht="15" hidden="false" customHeight="false" outlineLevel="0" collapsed="false">
      <c r="A183" s="24" t="n">
        <v>45108</v>
      </c>
      <c r="B183" s="18" t="n">
        <v>0</v>
      </c>
      <c r="C183" s="19" t="n">
        <v>1.92</v>
      </c>
      <c r="D183" s="12" t="n">
        <f aca="false">MONTH(A183)</f>
        <v>7</v>
      </c>
    </row>
    <row r="184" customFormat="false" ht="15" hidden="false" customHeight="false" outlineLevel="0" collapsed="false">
      <c r="A184" s="24" t="n">
        <v>45109</v>
      </c>
      <c r="B184" s="18" t="n">
        <v>0.3</v>
      </c>
      <c r="C184" s="19" t="n">
        <v>1.9</v>
      </c>
      <c r="D184" s="12" t="n">
        <f aca="false">MONTH(A184)</f>
        <v>7</v>
      </c>
    </row>
    <row r="185" customFormat="false" ht="15" hidden="false" customHeight="false" outlineLevel="0" collapsed="false">
      <c r="A185" s="24" t="n">
        <v>45110</v>
      </c>
      <c r="B185" s="18" t="n">
        <v>0</v>
      </c>
      <c r="C185" s="19" t="n">
        <v>1.88</v>
      </c>
      <c r="D185" s="12" t="n">
        <f aca="false">MONTH(A185)</f>
        <v>7</v>
      </c>
    </row>
    <row r="186" customFormat="false" ht="15" hidden="false" customHeight="false" outlineLevel="0" collapsed="false">
      <c r="A186" s="24" t="n">
        <v>45111</v>
      </c>
      <c r="B186" s="18" t="n">
        <v>0</v>
      </c>
      <c r="C186" s="19" t="n">
        <v>1.87</v>
      </c>
      <c r="D186" s="12" t="n">
        <f aca="false">MONTH(A186)</f>
        <v>7</v>
      </c>
    </row>
    <row r="187" customFormat="false" ht="15" hidden="false" customHeight="false" outlineLevel="0" collapsed="false">
      <c r="A187" s="24" t="n">
        <v>45112</v>
      </c>
      <c r="B187" s="18" t="n">
        <v>3</v>
      </c>
      <c r="C187" s="19" t="n">
        <v>1.85</v>
      </c>
      <c r="D187" s="12" t="n">
        <f aca="false">MONTH(A187)</f>
        <v>7</v>
      </c>
    </row>
    <row r="188" customFormat="false" ht="15" hidden="false" customHeight="false" outlineLevel="0" collapsed="false">
      <c r="A188" s="24" t="n">
        <v>45113</v>
      </c>
      <c r="B188" s="18" t="n">
        <v>25.2</v>
      </c>
      <c r="C188" s="19" t="n">
        <v>2.07</v>
      </c>
      <c r="D188" s="12" t="n">
        <f aca="false">MONTH(A188)</f>
        <v>7</v>
      </c>
    </row>
    <row r="189" customFormat="false" ht="15" hidden="false" customHeight="false" outlineLevel="0" collapsed="false">
      <c r="A189" s="24" t="n">
        <v>45114</v>
      </c>
      <c r="B189" s="18" t="n">
        <v>2.3</v>
      </c>
      <c r="C189" s="19" t="n">
        <v>2.15</v>
      </c>
      <c r="D189" s="12" t="n">
        <f aca="false">MONTH(A189)</f>
        <v>7</v>
      </c>
    </row>
    <row r="190" customFormat="false" ht="15" hidden="false" customHeight="false" outlineLevel="0" collapsed="false">
      <c r="A190" s="24" t="n">
        <v>45115</v>
      </c>
      <c r="B190" s="18" t="n">
        <v>11.4</v>
      </c>
      <c r="C190" s="19" t="n">
        <v>2.24</v>
      </c>
      <c r="D190" s="12" t="n">
        <f aca="false">MONTH(A190)</f>
        <v>7</v>
      </c>
    </row>
    <row r="191" customFormat="false" ht="15" hidden="false" customHeight="false" outlineLevel="0" collapsed="false">
      <c r="A191" s="24" t="n">
        <v>45116</v>
      </c>
      <c r="B191" s="18" t="n">
        <v>1.3</v>
      </c>
      <c r="C191" s="19" t="n">
        <v>2.25</v>
      </c>
      <c r="D191" s="12" t="n">
        <f aca="false">MONTH(A191)</f>
        <v>7</v>
      </c>
    </row>
    <row r="192" customFormat="false" ht="15" hidden="false" customHeight="false" outlineLevel="0" collapsed="false">
      <c r="A192" s="24" t="n">
        <v>45117</v>
      </c>
      <c r="B192" s="18" t="n">
        <v>0</v>
      </c>
      <c r="C192" s="19" t="n">
        <v>2.22</v>
      </c>
      <c r="D192" s="12" t="n">
        <f aca="false">MONTH(A192)</f>
        <v>7</v>
      </c>
    </row>
    <row r="193" customFormat="false" ht="15" hidden="false" customHeight="false" outlineLevel="0" collapsed="false">
      <c r="A193" s="24" t="n">
        <v>45118</v>
      </c>
      <c r="B193" s="18" t="n">
        <v>21.8</v>
      </c>
      <c r="C193" s="19" t="n">
        <v>2.36</v>
      </c>
      <c r="D193" s="12" t="n">
        <f aca="false">MONTH(A193)</f>
        <v>7</v>
      </c>
    </row>
    <row r="194" customFormat="false" ht="15" hidden="false" customHeight="false" outlineLevel="0" collapsed="false">
      <c r="A194" s="24" t="n">
        <v>45119</v>
      </c>
      <c r="B194" s="18" t="n">
        <v>3.6</v>
      </c>
      <c r="C194" s="19" t="n">
        <v>2.39</v>
      </c>
      <c r="D194" s="12" t="n">
        <f aca="false">MONTH(A194)</f>
        <v>7</v>
      </c>
    </row>
    <row r="195" customFormat="false" ht="15" hidden="false" customHeight="false" outlineLevel="0" collapsed="false">
      <c r="A195" s="24" t="n">
        <v>45120</v>
      </c>
      <c r="B195" s="18" t="n">
        <v>0</v>
      </c>
      <c r="C195" s="19" t="n">
        <v>2.36</v>
      </c>
      <c r="D195" s="12" t="n">
        <f aca="false">MONTH(A195)</f>
        <v>7</v>
      </c>
    </row>
    <row r="196" customFormat="false" ht="15" hidden="false" customHeight="false" outlineLevel="0" collapsed="false">
      <c r="A196" s="24" t="n">
        <v>45121</v>
      </c>
      <c r="B196" s="18" t="n">
        <v>0</v>
      </c>
      <c r="C196" s="19" t="n">
        <v>2.31</v>
      </c>
      <c r="D196" s="12" t="n">
        <f aca="false">MONTH(A196)</f>
        <v>7</v>
      </c>
    </row>
    <row r="197" customFormat="false" ht="15" hidden="false" customHeight="false" outlineLevel="0" collapsed="false">
      <c r="A197" s="24" t="n">
        <v>45122</v>
      </c>
      <c r="B197" s="18" t="n">
        <v>29.7</v>
      </c>
      <c r="C197" s="19" t="n">
        <v>2.52</v>
      </c>
      <c r="D197" s="12" t="n">
        <f aca="false">MONTH(A197)</f>
        <v>7</v>
      </c>
    </row>
    <row r="198" customFormat="false" ht="15" hidden="false" customHeight="false" outlineLevel="0" collapsed="false">
      <c r="A198" s="24" t="n">
        <v>45123</v>
      </c>
      <c r="B198" s="18" t="n">
        <v>4.2</v>
      </c>
      <c r="C198" s="19" t="n">
        <v>2.57</v>
      </c>
      <c r="D198" s="12" t="n">
        <f aca="false">MONTH(A198)</f>
        <v>7</v>
      </c>
    </row>
    <row r="199" customFormat="false" ht="15" hidden="false" customHeight="false" outlineLevel="0" collapsed="false">
      <c r="A199" s="24" t="n">
        <v>45124</v>
      </c>
      <c r="B199" s="18" t="n">
        <v>0</v>
      </c>
      <c r="C199" s="19" t="n">
        <v>2.54</v>
      </c>
      <c r="D199" s="12" t="n">
        <f aca="false">MONTH(A199)</f>
        <v>7</v>
      </c>
    </row>
    <row r="200" customFormat="false" ht="15" hidden="false" customHeight="false" outlineLevel="0" collapsed="false">
      <c r="A200" s="24" t="n">
        <v>45125</v>
      </c>
      <c r="B200" s="18" t="n">
        <v>0.1</v>
      </c>
      <c r="C200" s="19" t="n">
        <v>2.47</v>
      </c>
      <c r="D200" s="12" t="n">
        <f aca="false">MONTH(A200)</f>
        <v>7</v>
      </c>
    </row>
    <row r="201" customFormat="false" ht="15" hidden="false" customHeight="false" outlineLevel="0" collapsed="false">
      <c r="A201" s="24" t="n">
        <v>45126</v>
      </c>
      <c r="B201" s="18" t="n">
        <v>5.1</v>
      </c>
      <c r="C201" s="19" t="n">
        <v>2.39</v>
      </c>
      <c r="D201" s="12" t="n">
        <f aca="false">MONTH(A201)</f>
        <v>7</v>
      </c>
    </row>
    <row r="202" customFormat="false" ht="15" hidden="false" customHeight="false" outlineLevel="0" collapsed="false">
      <c r="A202" s="24" t="n">
        <v>45127</v>
      </c>
      <c r="B202" s="18" t="n">
        <v>0</v>
      </c>
      <c r="C202" s="19" t="n">
        <v>2.31</v>
      </c>
      <c r="D202" s="12" t="n">
        <f aca="false">MONTH(A202)</f>
        <v>7</v>
      </c>
    </row>
    <row r="203" customFormat="false" ht="15" hidden="false" customHeight="false" outlineLevel="0" collapsed="false">
      <c r="A203" s="24" t="n">
        <v>45128</v>
      </c>
      <c r="B203" s="18" t="n">
        <v>0</v>
      </c>
      <c r="C203" s="19" t="n">
        <v>2.23</v>
      </c>
      <c r="D203" s="12" t="n">
        <f aca="false">MONTH(A203)</f>
        <v>7</v>
      </c>
    </row>
    <row r="204" customFormat="false" ht="15" hidden="false" customHeight="false" outlineLevel="0" collapsed="false">
      <c r="A204" s="24" t="n">
        <v>45129</v>
      </c>
      <c r="B204" s="18" t="n">
        <v>0</v>
      </c>
      <c r="C204" s="19" t="n">
        <v>2.16</v>
      </c>
      <c r="D204" s="12" t="n">
        <f aca="false">MONTH(A204)</f>
        <v>7</v>
      </c>
    </row>
    <row r="205" customFormat="false" ht="15" hidden="false" customHeight="false" outlineLevel="0" collapsed="false">
      <c r="A205" s="24" t="n">
        <v>45130</v>
      </c>
      <c r="B205" s="18" t="n">
        <v>0</v>
      </c>
      <c r="C205" s="19" t="n">
        <v>2.1</v>
      </c>
      <c r="D205" s="12" t="n">
        <f aca="false">MONTH(A205)</f>
        <v>7</v>
      </c>
    </row>
    <row r="206" customFormat="false" ht="15" hidden="false" customHeight="false" outlineLevel="0" collapsed="false">
      <c r="A206" s="24" t="n">
        <v>45131</v>
      </c>
      <c r="B206" s="18" t="n">
        <v>0</v>
      </c>
      <c r="C206" s="19" t="n">
        <v>2.05</v>
      </c>
      <c r="D206" s="12" t="n">
        <f aca="false">MONTH(A206)</f>
        <v>7</v>
      </c>
    </row>
    <row r="207" customFormat="false" ht="15" hidden="false" customHeight="false" outlineLevel="0" collapsed="false">
      <c r="A207" s="24" t="n">
        <v>45132</v>
      </c>
      <c r="B207" s="18" t="n">
        <v>1.4</v>
      </c>
      <c r="C207" s="19" t="n">
        <v>2.01</v>
      </c>
      <c r="D207" s="12" t="n">
        <f aca="false">MONTH(A207)</f>
        <v>7</v>
      </c>
    </row>
    <row r="208" customFormat="false" ht="15" hidden="false" customHeight="false" outlineLevel="0" collapsed="false">
      <c r="A208" s="24" t="n">
        <v>45133</v>
      </c>
      <c r="B208" s="18" t="n">
        <v>0</v>
      </c>
      <c r="C208" s="19" t="n">
        <v>1.97</v>
      </c>
      <c r="D208" s="12" t="n">
        <f aca="false">MONTH(A208)</f>
        <v>7</v>
      </c>
    </row>
    <row r="209" customFormat="false" ht="15" hidden="false" customHeight="false" outlineLevel="0" collapsed="false">
      <c r="A209" s="24" t="n">
        <v>45134</v>
      </c>
      <c r="B209" s="18" t="n">
        <v>0</v>
      </c>
      <c r="C209" s="19" t="n">
        <v>1.94</v>
      </c>
      <c r="D209" s="12" t="n">
        <f aca="false">MONTH(A209)</f>
        <v>7</v>
      </c>
    </row>
    <row r="210" customFormat="false" ht="15" hidden="false" customHeight="false" outlineLevel="0" collapsed="false">
      <c r="A210" s="24" t="n">
        <v>45135</v>
      </c>
      <c r="B210" s="18" t="n">
        <v>12.4</v>
      </c>
      <c r="C210" s="19" t="n">
        <v>2</v>
      </c>
      <c r="D210" s="12" t="n">
        <f aca="false">MONTH(A210)</f>
        <v>7</v>
      </c>
    </row>
    <row r="211" customFormat="false" ht="15" hidden="false" customHeight="false" outlineLevel="0" collapsed="false">
      <c r="A211" s="24" t="n">
        <v>45136</v>
      </c>
      <c r="B211" s="18" t="n">
        <v>0</v>
      </c>
      <c r="C211" s="19" t="n">
        <v>2.01</v>
      </c>
      <c r="D211" s="12" t="n">
        <f aca="false">MONTH(A211)</f>
        <v>7</v>
      </c>
    </row>
    <row r="212" customFormat="false" ht="15" hidden="false" customHeight="false" outlineLevel="0" collapsed="false">
      <c r="A212" s="24" t="n">
        <v>45137</v>
      </c>
      <c r="B212" s="18" t="n">
        <v>0</v>
      </c>
      <c r="C212" s="19" t="n">
        <v>2</v>
      </c>
      <c r="D212" s="12" t="n">
        <f aca="false">MONTH(A212)</f>
        <v>7</v>
      </c>
    </row>
    <row r="213" customFormat="false" ht="15" hidden="false" customHeight="false" outlineLevel="0" collapsed="false">
      <c r="A213" s="24" t="n">
        <v>45138</v>
      </c>
      <c r="B213" s="18" t="n">
        <v>0</v>
      </c>
      <c r="C213" s="19" t="n">
        <v>1.98</v>
      </c>
      <c r="D213" s="12" t="n">
        <f aca="false">MONTH(A213)</f>
        <v>7</v>
      </c>
    </row>
    <row r="214" customFormat="false" ht="15" hidden="false" customHeight="false" outlineLevel="0" collapsed="false">
      <c r="A214" s="24" t="n">
        <v>45139</v>
      </c>
      <c r="B214" s="18" t="n">
        <v>0</v>
      </c>
      <c r="C214" s="19" t="n">
        <v>1.96</v>
      </c>
      <c r="D214" s="12" t="n">
        <f aca="false">MONTH(A214)</f>
        <v>8</v>
      </c>
    </row>
    <row r="215" customFormat="false" ht="15" hidden="false" customHeight="false" outlineLevel="0" collapsed="false">
      <c r="A215" s="24" t="n">
        <v>45140</v>
      </c>
      <c r="B215" s="18" t="n">
        <v>0.9</v>
      </c>
      <c r="C215" s="19" t="n">
        <v>1.94</v>
      </c>
      <c r="D215" s="12" t="n">
        <f aca="false">MONTH(A215)</f>
        <v>8</v>
      </c>
    </row>
    <row r="216" customFormat="false" ht="15" hidden="false" customHeight="false" outlineLevel="0" collapsed="false">
      <c r="A216" s="24" t="n">
        <v>45141</v>
      </c>
      <c r="B216" s="18" t="n">
        <v>9.7</v>
      </c>
      <c r="C216" s="19" t="n">
        <v>1.97</v>
      </c>
      <c r="D216" s="12" t="n">
        <f aca="false">MONTH(A216)</f>
        <v>8</v>
      </c>
    </row>
    <row r="217" customFormat="false" ht="15" hidden="false" customHeight="false" outlineLevel="0" collapsed="false">
      <c r="A217" s="24" t="n">
        <v>45142</v>
      </c>
      <c r="B217" s="18" t="n">
        <v>0</v>
      </c>
      <c r="C217" s="19" t="n">
        <v>1.97</v>
      </c>
      <c r="D217" s="12" t="n">
        <f aca="false">MONTH(A217)</f>
        <v>8</v>
      </c>
    </row>
    <row r="218" customFormat="false" ht="15" hidden="false" customHeight="false" outlineLevel="0" collapsed="false">
      <c r="A218" s="24" t="n">
        <v>45143</v>
      </c>
      <c r="B218" s="18" t="n">
        <v>0</v>
      </c>
      <c r="C218" s="19" t="n">
        <v>1.96</v>
      </c>
      <c r="D218" s="12" t="n">
        <f aca="false">MONTH(A218)</f>
        <v>8</v>
      </c>
    </row>
    <row r="219" customFormat="false" ht="15" hidden="false" customHeight="false" outlineLevel="0" collapsed="false">
      <c r="A219" s="24" t="n">
        <v>45144</v>
      </c>
      <c r="B219" s="18" t="n">
        <v>0</v>
      </c>
      <c r="C219" s="19" t="n">
        <v>1.94</v>
      </c>
      <c r="D219" s="12" t="n">
        <f aca="false">MONTH(A219)</f>
        <v>8</v>
      </c>
    </row>
    <row r="220" customFormat="false" ht="15" hidden="false" customHeight="false" outlineLevel="0" collapsed="false">
      <c r="A220" s="24" t="n">
        <v>45145</v>
      </c>
      <c r="B220" s="18" t="n">
        <v>15.7</v>
      </c>
      <c r="C220" s="19" t="n">
        <v>2.04</v>
      </c>
      <c r="D220" s="12" t="n">
        <f aca="false">MONTH(A220)</f>
        <v>8</v>
      </c>
    </row>
    <row r="221" customFormat="false" ht="15" hidden="false" customHeight="false" outlineLevel="0" collapsed="false">
      <c r="A221" s="24" t="n">
        <v>45146</v>
      </c>
      <c r="B221" s="18" t="n">
        <v>0</v>
      </c>
      <c r="C221" s="19" t="n">
        <v>2.07</v>
      </c>
      <c r="D221" s="12" t="n">
        <f aca="false">MONTH(A221)</f>
        <v>8</v>
      </c>
    </row>
    <row r="222" customFormat="false" ht="15" hidden="false" customHeight="false" outlineLevel="0" collapsed="false">
      <c r="A222" s="24" t="n">
        <v>45147</v>
      </c>
      <c r="B222" s="18" t="n">
        <v>7.7</v>
      </c>
      <c r="C222" s="19" t="n">
        <v>2.1</v>
      </c>
      <c r="D222" s="12" t="n">
        <f aca="false">MONTH(A222)</f>
        <v>8</v>
      </c>
    </row>
    <row r="223" customFormat="false" ht="15" hidden="false" customHeight="false" outlineLevel="0" collapsed="false">
      <c r="A223" s="24" t="n">
        <v>45148</v>
      </c>
      <c r="B223" s="18" t="n">
        <v>12.8</v>
      </c>
      <c r="C223" s="19" t="n">
        <v>2.18</v>
      </c>
      <c r="D223" s="12" t="n">
        <f aca="false">MONTH(A223)</f>
        <v>8</v>
      </c>
    </row>
    <row r="224" customFormat="false" ht="15" hidden="false" customHeight="false" outlineLevel="0" collapsed="false">
      <c r="A224" s="24" t="n">
        <v>45149</v>
      </c>
      <c r="B224" s="18" t="n">
        <v>7.3</v>
      </c>
      <c r="C224" s="19" t="n">
        <v>2.21</v>
      </c>
      <c r="D224" s="12" t="n">
        <f aca="false">MONTH(A224)</f>
        <v>8</v>
      </c>
    </row>
    <row r="225" customFormat="false" ht="15" hidden="false" customHeight="false" outlineLevel="0" collapsed="false">
      <c r="A225" s="24" t="n">
        <v>45150</v>
      </c>
      <c r="B225" s="18" t="n">
        <v>4.1</v>
      </c>
      <c r="C225" s="19" t="n">
        <v>2.2</v>
      </c>
      <c r="D225" s="12" t="n">
        <f aca="false">MONTH(A225)</f>
        <v>8</v>
      </c>
    </row>
    <row r="226" customFormat="false" ht="15" hidden="false" customHeight="false" outlineLevel="0" collapsed="false">
      <c r="A226" s="24" t="n">
        <v>45151</v>
      </c>
      <c r="B226" s="18" t="n">
        <v>15.6</v>
      </c>
      <c r="C226" s="19" t="n">
        <v>2.28</v>
      </c>
      <c r="D226" s="12" t="n">
        <f aca="false">MONTH(A226)</f>
        <v>8</v>
      </c>
    </row>
    <row r="227" customFormat="false" ht="15" hidden="false" customHeight="false" outlineLevel="0" collapsed="false">
      <c r="A227" s="24" t="n">
        <v>45152</v>
      </c>
      <c r="B227" s="18" t="n">
        <v>10.2</v>
      </c>
      <c r="C227" s="19" t="n">
        <v>2.34</v>
      </c>
      <c r="D227" s="12" t="n">
        <f aca="false">MONTH(A227)</f>
        <v>8</v>
      </c>
    </row>
    <row r="228" customFormat="false" ht="15" hidden="false" customHeight="false" outlineLevel="0" collapsed="false">
      <c r="A228" s="24" t="n">
        <v>45153</v>
      </c>
      <c r="B228" s="18" t="n">
        <v>5.4</v>
      </c>
      <c r="C228" s="19" t="n">
        <v>2.34</v>
      </c>
      <c r="D228" s="12" t="n">
        <f aca="false">MONTH(A228)</f>
        <v>8</v>
      </c>
    </row>
    <row r="229" customFormat="false" ht="15" hidden="false" customHeight="false" outlineLevel="0" collapsed="false">
      <c r="A229" s="24" t="n">
        <v>45154</v>
      </c>
      <c r="B229" s="18" t="n">
        <v>1.3</v>
      </c>
      <c r="C229" s="19" t="n">
        <v>2.3</v>
      </c>
      <c r="D229" s="12" t="n">
        <f aca="false">MONTH(A229)</f>
        <v>8</v>
      </c>
    </row>
    <row r="230" customFormat="false" ht="15" hidden="false" customHeight="false" outlineLevel="0" collapsed="false">
      <c r="A230" s="24" t="n">
        <v>45155</v>
      </c>
      <c r="B230" s="18" t="n">
        <v>3.6</v>
      </c>
      <c r="C230" s="19" t="n">
        <v>2.24</v>
      </c>
      <c r="D230" s="12" t="n">
        <f aca="false">MONTH(A230)</f>
        <v>8</v>
      </c>
    </row>
    <row r="231" customFormat="false" ht="15" hidden="false" customHeight="false" outlineLevel="0" collapsed="false">
      <c r="A231" s="24" t="n">
        <v>45156</v>
      </c>
      <c r="B231" s="18" t="n">
        <v>0</v>
      </c>
      <c r="C231" s="19" t="n">
        <v>2.18</v>
      </c>
      <c r="D231" s="12" t="n">
        <f aca="false">MONTH(A231)</f>
        <v>8</v>
      </c>
    </row>
    <row r="232" customFormat="false" ht="15" hidden="false" customHeight="false" outlineLevel="0" collapsed="false">
      <c r="A232" s="24" t="n">
        <v>45157</v>
      </c>
      <c r="B232" s="18" t="n">
        <v>2.7</v>
      </c>
      <c r="C232" s="19" t="n">
        <v>2.13</v>
      </c>
      <c r="D232" s="12" t="n">
        <f aca="false">MONTH(A232)</f>
        <v>8</v>
      </c>
    </row>
    <row r="233" customFormat="false" ht="15" hidden="false" customHeight="false" outlineLevel="0" collapsed="false">
      <c r="A233" s="24" t="n">
        <v>45158</v>
      </c>
      <c r="B233" s="18" t="n">
        <v>0.3</v>
      </c>
      <c r="C233" s="19" t="n">
        <v>2.08</v>
      </c>
      <c r="D233" s="12" t="n">
        <f aca="false">MONTH(A233)</f>
        <v>8</v>
      </c>
    </row>
    <row r="234" customFormat="false" ht="15" hidden="false" customHeight="false" outlineLevel="0" collapsed="false">
      <c r="A234" s="24" t="n">
        <v>45159</v>
      </c>
      <c r="B234" s="18" t="n">
        <v>0</v>
      </c>
      <c r="C234" s="19" t="n">
        <v>2.03</v>
      </c>
      <c r="D234" s="12" t="n">
        <f aca="false">MONTH(A234)</f>
        <v>8</v>
      </c>
    </row>
    <row r="235" customFormat="false" ht="15" hidden="false" customHeight="false" outlineLevel="0" collapsed="false">
      <c r="A235" s="24" t="n">
        <v>45160</v>
      </c>
      <c r="B235" s="18" t="n">
        <v>17</v>
      </c>
      <c r="C235" s="19" t="n">
        <v>2.12</v>
      </c>
      <c r="D235" s="12" t="n">
        <f aca="false">MONTH(A235)</f>
        <v>8</v>
      </c>
    </row>
    <row r="236" customFormat="false" ht="15" hidden="false" customHeight="false" outlineLevel="0" collapsed="false">
      <c r="A236" s="24" t="n">
        <v>45161</v>
      </c>
      <c r="B236" s="18" t="n">
        <v>0</v>
      </c>
      <c r="C236" s="19" t="n">
        <v>2.15</v>
      </c>
      <c r="D236" s="12" t="n">
        <f aca="false">MONTH(A236)</f>
        <v>8</v>
      </c>
    </row>
    <row r="237" customFormat="false" ht="15" hidden="false" customHeight="false" outlineLevel="0" collapsed="false">
      <c r="A237" s="24" t="n">
        <v>45162</v>
      </c>
      <c r="B237" s="18" t="n">
        <v>0</v>
      </c>
      <c r="C237" s="19" t="n">
        <v>2.13</v>
      </c>
      <c r="D237" s="12" t="n">
        <f aca="false">MONTH(A237)</f>
        <v>8</v>
      </c>
    </row>
    <row r="238" customFormat="false" ht="15" hidden="false" customHeight="false" outlineLevel="0" collapsed="false">
      <c r="A238" s="24" t="n">
        <v>45163</v>
      </c>
      <c r="B238" s="18" t="n">
        <v>1.7</v>
      </c>
      <c r="C238" s="19" t="n">
        <v>2.1</v>
      </c>
      <c r="D238" s="12" t="n">
        <f aca="false">MONTH(A238)</f>
        <v>8</v>
      </c>
    </row>
    <row r="239" customFormat="false" ht="15" hidden="false" customHeight="false" outlineLevel="0" collapsed="false">
      <c r="A239" s="24" t="n">
        <v>45164</v>
      </c>
      <c r="B239" s="18" t="n">
        <v>0.1</v>
      </c>
      <c r="C239" s="19" t="n">
        <v>2.06</v>
      </c>
      <c r="D239" s="12" t="n">
        <f aca="false">MONTH(A239)</f>
        <v>8</v>
      </c>
    </row>
    <row r="240" customFormat="false" ht="15" hidden="false" customHeight="false" outlineLevel="0" collapsed="false">
      <c r="A240" s="24" t="n">
        <v>45165</v>
      </c>
      <c r="B240" s="18" t="n">
        <v>3.8</v>
      </c>
      <c r="C240" s="19" t="n">
        <v>2.03</v>
      </c>
      <c r="D240" s="12" t="n">
        <f aca="false">MONTH(A240)</f>
        <v>8</v>
      </c>
    </row>
    <row r="241" customFormat="false" ht="15" hidden="false" customHeight="false" outlineLevel="0" collapsed="false">
      <c r="A241" s="24" t="n">
        <v>45166</v>
      </c>
      <c r="B241" s="18" t="n">
        <v>8.3</v>
      </c>
      <c r="C241" s="19" t="n">
        <v>2.03</v>
      </c>
      <c r="D241" s="12" t="n">
        <f aca="false">MONTH(A241)</f>
        <v>8</v>
      </c>
    </row>
    <row r="242" customFormat="false" ht="15" hidden="false" customHeight="false" outlineLevel="0" collapsed="false">
      <c r="A242" s="24" t="n">
        <v>45167</v>
      </c>
      <c r="B242" s="18" t="n">
        <v>23.1</v>
      </c>
      <c r="C242" s="19" t="n">
        <v>2.21</v>
      </c>
      <c r="D242" s="12" t="n">
        <f aca="false">MONTH(A242)</f>
        <v>8</v>
      </c>
    </row>
    <row r="243" customFormat="false" ht="15" hidden="false" customHeight="false" outlineLevel="0" collapsed="false">
      <c r="A243" s="24" t="n">
        <v>45168</v>
      </c>
      <c r="B243" s="18" t="n">
        <v>0</v>
      </c>
      <c r="C243" s="19" t="n">
        <v>2.27</v>
      </c>
      <c r="D243" s="12" t="n">
        <f aca="false">MONTH(A243)</f>
        <v>8</v>
      </c>
    </row>
    <row r="244" customFormat="false" ht="15" hidden="false" customHeight="false" outlineLevel="0" collapsed="false">
      <c r="A244" s="24" t="n">
        <v>45169</v>
      </c>
      <c r="B244" s="18" t="n">
        <v>2</v>
      </c>
      <c r="C244" s="19" t="n">
        <v>2.27</v>
      </c>
      <c r="D244" s="12" t="n">
        <f aca="false">MONTH(A244)</f>
        <v>8</v>
      </c>
    </row>
    <row r="245" customFormat="false" ht="15" hidden="false" customHeight="false" outlineLevel="0" collapsed="false">
      <c r="A245" s="24" t="n">
        <v>45170</v>
      </c>
      <c r="B245" s="18" t="n">
        <v>1</v>
      </c>
      <c r="C245" s="19" t="n">
        <v>2.23</v>
      </c>
      <c r="D245" s="12" t="n">
        <f aca="false">MONTH(A245)</f>
        <v>9</v>
      </c>
    </row>
    <row r="246" customFormat="false" ht="15" hidden="false" customHeight="false" outlineLevel="0" collapsed="false">
      <c r="A246" s="24" t="n">
        <v>45171</v>
      </c>
      <c r="B246" s="18" t="n">
        <v>9</v>
      </c>
      <c r="C246" s="19" t="n">
        <v>2.23</v>
      </c>
      <c r="D246" s="12" t="n">
        <f aca="false">MONTH(A246)</f>
        <v>9</v>
      </c>
    </row>
    <row r="247" customFormat="false" ht="15" hidden="false" customHeight="false" outlineLevel="0" collapsed="false">
      <c r="A247" s="24" t="n">
        <v>45172</v>
      </c>
      <c r="B247" s="18" t="n">
        <v>2.7</v>
      </c>
      <c r="C247" s="19" t="n">
        <v>2.19</v>
      </c>
      <c r="D247" s="12" t="n">
        <f aca="false">MONTH(A247)</f>
        <v>9</v>
      </c>
    </row>
    <row r="248" customFormat="false" ht="15" hidden="false" customHeight="false" outlineLevel="0" collapsed="false">
      <c r="A248" s="24" t="n">
        <v>45173</v>
      </c>
      <c r="B248" s="18" t="n">
        <v>0</v>
      </c>
      <c r="C248" s="19" t="n">
        <v>2.15</v>
      </c>
      <c r="D248" s="12" t="n">
        <f aca="false">MONTH(A248)</f>
        <v>9</v>
      </c>
    </row>
    <row r="249" customFormat="false" ht="15" hidden="false" customHeight="false" outlineLevel="0" collapsed="false">
      <c r="A249" s="24" t="n">
        <v>45174</v>
      </c>
      <c r="B249" s="18" t="n">
        <v>0</v>
      </c>
      <c r="C249" s="19" t="n">
        <v>2.1</v>
      </c>
      <c r="D249" s="12" t="n">
        <f aca="false">MONTH(A249)</f>
        <v>9</v>
      </c>
    </row>
    <row r="250" customFormat="false" ht="15" hidden="false" customHeight="false" outlineLevel="0" collapsed="false">
      <c r="A250" s="24" t="n">
        <v>45175</v>
      </c>
      <c r="B250" s="18" t="n">
        <v>0</v>
      </c>
      <c r="C250" s="19" t="n">
        <v>2.06</v>
      </c>
      <c r="D250" s="12" t="n">
        <f aca="false">MONTH(A250)</f>
        <v>9</v>
      </c>
    </row>
    <row r="251" customFormat="false" ht="15" hidden="false" customHeight="false" outlineLevel="0" collapsed="false">
      <c r="A251" s="24" t="n">
        <v>45176</v>
      </c>
      <c r="B251" s="18" t="n">
        <v>14.8</v>
      </c>
      <c r="C251" s="19" t="n">
        <v>2.12</v>
      </c>
      <c r="D251" s="12" t="n">
        <f aca="false">MONTH(A251)</f>
        <v>9</v>
      </c>
    </row>
    <row r="252" customFormat="false" ht="15" hidden="false" customHeight="false" outlineLevel="0" collapsed="false">
      <c r="A252" s="24" t="n">
        <v>45177</v>
      </c>
      <c r="B252" s="18" t="n">
        <v>4.6</v>
      </c>
      <c r="C252" s="19" t="n">
        <v>2.13</v>
      </c>
      <c r="D252" s="12" t="n">
        <f aca="false">MONTH(A252)</f>
        <v>9</v>
      </c>
    </row>
    <row r="253" customFormat="false" ht="15" hidden="false" customHeight="false" outlineLevel="0" collapsed="false">
      <c r="A253" s="24" t="n">
        <v>45178</v>
      </c>
      <c r="B253" s="18" t="n">
        <v>0</v>
      </c>
      <c r="C253" s="19" t="n">
        <v>2.12</v>
      </c>
      <c r="D253" s="12" t="n">
        <f aca="false">MONTH(A253)</f>
        <v>9</v>
      </c>
    </row>
    <row r="254" customFormat="false" ht="15" hidden="false" customHeight="false" outlineLevel="0" collapsed="false">
      <c r="A254" s="24" t="n">
        <v>45179</v>
      </c>
      <c r="B254" s="18" t="n">
        <v>0</v>
      </c>
      <c r="C254" s="19" t="n">
        <v>2.08</v>
      </c>
      <c r="D254" s="12" t="n">
        <f aca="false">MONTH(A254)</f>
        <v>9</v>
      </c>
    </row>
    <row r="255" customFormat="false" ht="15" hidden="false" customHeight="false" outlineLevel="0" collapsed="false">
      <c r="A255" s="24" t="n">
        <v>45180</v>
      </c>
      <c r="B255" s="18" t="n">
        <v>0</v>
      </c>
      <c r="C255" s="19" t="n">
        <v>2.05</v>
      </c>
      <c r="D255" s="12" t="n">
        <f aca="false">MONTH(A255)</f>
        <v>9</v>
      </c>
    </row>
    <row r="256" customFormat="false" ht="15" hidden="false" customHeight="false" outlineLevel="0" collapsed="false">
      <c r="A256" s="24" t="n">
        <v>45181</v>
      </c>
      <c r="B256" s="18" t="n">
        <v>0</v>
      </c>
      <c r="C256" s="19" t="n">
        <v>2.01</v>
      </c>
      <c r="D256" s="12" t="n">
        <f aca="false">MONTH(A256)</f>
        <v>9</v>
      </c>
    </row>
    <row r="257" customFormat="false" ht="15" hidden="false" customHeight="false" outlineLevel="0" collapsed="false">
      <c r="A257" s="24" t="n">
        <v>45182</v>
      </c>
      <c r="B257" s="18" t="n">
        <v>0</v>
      </c>
      <c r="C257" s="19" t="n">
        <v>1.98</v>
      </c>
      <c r="D257" s="12" t="n">
        <f aca="false">MONTH(A257)</f>
        <v>9</v>
      </c>
    </row>
    <row r="258" customFormat="false" ht="15" hidden="false" customHeight="false" outlineLevel="0" collapsed="false">
      <c r="A258" s="24" t="n">
        <v>45183</v>
      </c>
      <c r="B258" s="18" t="n">
        <v>2.6</v>
      </c>
      <c r="C258" s="19" t="n">
        <v>1.95</v>
      </c>
      <c r="D258" s="12" t="n">
        <f aca="false">MONTH(A258)</f>
        <v>9</v>
      </c>
    </row>
    <row r="259" customFormat="false" ht="15" hidden="false" customHeight="false" outlineLevel="0" collapsed="false">
      <c r="A259" s="24" t="n">
        <v>45184</v>
      </c>
      <c r="B259" s="18" t="n">
        <v>8.2</v>
      </c>
      <c r="C259" s="19" t="n">
        <v>1.96</v>
      </c>
      <c r="D259" s="12" t="n">
        <f aca="false">MONTH(A259)</f>
        <v>9</v>
      </c>
    </row>
    <row r="260" customFormat="false" ht="15" hidden="false" customHeight="false" outlineLevel="0" collapsed="false">
      <c r="A260" s="24" t="n">
        <v>45185</v>
      </c>
      <c r="B260" s="18" t="n">
        <v>0</v>
      </c>
      <c r="C260" s="19" t="n">
        <v>1.95</v>
      </c>
      <c r="D260" s="12" t="n">
        <f aca="false">MONTH(A260)</f>
        <v>9</v>
      </c>
    </row>
    <row r="261" customFormat="false" ht="15" hidden="false" customHeight="false" outlineLevel="0" collapsed="false">
      <c r="A261" s="24" t="n">
        <v>45186</v>
      </c>
      <c r="B261" s="18" t="n">
        <v>10.6</v>
      </c>
      <c r="C261" s="19" t="n">
        <v>2</v>
      </c>
      <c r="D261" s="12" t="n">
        <f aca="false">MONTH(A261)</f>
        <v>9</v>
      </c>
    </row>
    <row r="262" customFormat="false" ht="15" hidden="false" customHeight="false" outlineLevel="0" collapsed="false">
      <c r="A262" s="24" t="n">
        <v>45187</v>
      </c>
      <c r="B262" s="18" t="n">
        <v>14.9</v>
      </c>
      <c r="C262" s="19" t="n">
        <v>2.12</v>
      </c>
      <c r="D262" s="12" t="n">
        <f aca="false">MONTH(A262)</f>
        <v>9</v>
      </c>
    </row>
    <row r="263" customFormat="false" ht="15" hidden="false" customHeight="false" outlineLevel="0" collapsed="false">
      <c r="A263" s="24" t="n">
        <v>45188</v>
      </c>
      <c r="B263" s="18" t="n">
        <v>0</v>
      </c>
      <c r="C263" s="19" t="n">
        <v>2.15</v>
      </c>
      <c r="D263" s="12" t="n">
        <f aca="false">MONTH(A263)</f>
        <v>9</v>
      </c>
    </row>
    <row r="264" customFormat="false" ht="15" hidden="false" customHeight="false" outlineLevel="0" collapsed="false">
      <c r="A264" s="24" t="n">
        <v>45189</v>
      </c>
      <c r="B264" s="18" t="n">
        <v>14.6</v>
      </c>
      <c r="C264" s="19" t="n">
        <v>2.25</v>
      </c>
      <c r="D264" s="12" t="n">
        <f aca="false">MONTH(A264)</f>
        <v>9</v>
      </c>
    </row>
    <row r="265" customFormat="false" ht="15" hidden="false" customHeight="false" outlineLevel="0" collapsed="false">
      <c r="A265" s="24" t="n">
        <v>45190</v>
      </c>
      <c r="B265" s="18" t="n">
        <v>96.4</v>
      </c>
      <c r="C265" s="19" t="n">
        <v>3.27</v>
      </c>
      <c r="D265" s="12" t="n">
        <f aca="false">MONTH(A265)</f>
        <v>9</v>
      </c>
    </row>
    <row r="266" customFormat="false" ht="15" hidden="false" customHeight="false" outlineLevel="0" collapsed="false">
      <c r="A266" s="24" t="n">
        <v>45191</v>
      </c>
      <c r="B266" s="18" t="n">
        <v>58.2</v>
      </c>
      <c r="C266" s="19" t="n">
        <v>4.25</v>
      </c>
      <c r="D266" s="12" t="n">
        <f aca="false">MONTH(A266)</f>
        <v>9</v>
      </c>
    </row>
    <row r="267" customFormat="false" ht="15" hidden="false" customHeight="false" outlineLevel="0" collapsed="false">
      <c r="A267" s="24" t="n">
        <v>45192</v>
      </c>
      <c r="B267" s="18" t="n">
        <v>0</v>
      </c>
      <c r="C267" s="19" t="n">
        <v>4.56</v>
      </c>
      <c r="D267" s="12" t="n">
        <f aca="false">MONTH(A267)</f>
        <v>9</v>
      </c>
    </row>
    <row r="268" customFormat="false" ht="15" hidden="false" customHeight="false" outlineLevel="0" collapsed="false">
      <c r="A268" s="24" t="n">
        <v>45193</v>
      </c>
      <c r="B268" s="18" t="n">
        <v>0.4</v>
      </c>
      <c r="C268" s="19" t="n">
        <v>4.51</v>
      </c>
      <c r="D268" s="12" t="n">
        <f aca="false">MONTH(A268)</f>
        <v>9</v>
      </c>
    </row>
    <row r="269" customFormat="false" ht="15" hidden="false" customHeight="false" outlineLevel="0" collapsed="false">
      <c r="A269" s="24" t="n">
        <v>45194</v>
      </c>
      <c r="B269" s="18" t="n">
        <v>2.7</v>
      </c>
      <c r="C269" s="19" t="n">
        <v>4.29</v>
      </c>
      <c r="D269" s="12" t="n">
        <f aca="false">MONTH(A269)</f>
        <v>9</v>
      </c>
    </row>
    <row r="270" customFormat="false" ht="15" hidden="false" customHeight="false" outlineLevel="0" collapsed="false">
      <c r="A270" s="24" t="n">
        <v>45195</v>
      </c>
      <c r="B270" s="18" t="n">
        <v>0</v>
      </c>
      <c r="C270" s="19" t="n">
        <v>4.01</v>
      </c>
      <c r="D270" s="12" t="n">
        <f aca="false">MONTH(A270)</f>
        <v>9</v>
      </c>
    </row>
    <row r="271" customFormat="false" ht="15" hidden="false" customHeight="false" outlineLevel="0" collapsed="false">
      <c r="A271" s="24" t="n">
        <v>45196</v>
      </c>
      <c r="B271" s="18" t="n">
        <v>0.3</v>
      </c>
      <c r="C271" s="19" t="n">
        <v>3.71</v>
      </c>
      <c r="D271" s="12" t="n">
        <f aca="false">MONTH(A271)</f>
        <v>9</v>
      </c>
    </row>
    <row r="272" customFormat="false" ht="15" hidden="false" customHeight="false" outlineLevel="0" collapsed="false">
      <c r="A272" s="24" t="n">
        <v>45197</v>
      </c>
      <c r="B272" s="18" t="n">
        <v>0</v>
      </c>
      <c r="C272" s="19" t="n">
        <v>3.42</v>
      </c>
      <c r="D272" s="12" t="n">
        <f aca="false">MONTH(A272)</f>
        <v>9</v>
      </c>
    </row>
    <row r="273" customFormat="false" ht="15" hidden="false" customHeight="false" outlineLevel="0" collapsed="false">
      <c r="A273" s="24" t="n">
        <v>45198</v>
      </c>
      <c r="B273" s="18" t="n">
        <v>0</v>
      </c>
      <c r="C273" s="19" t="n">
        <v>3.16</v>
      </c>
      <c r="D273" s="12" t="n">
        <f aca="false">MONTH(A273)</f>
        <v>9</v>
      </c>
    </row>
    <row r="274" customFormat="false" ht="15" hidden="false" customHeight="false" outlineLevel="0" collapsed="false">
      <c r="A274" s="24" t="n">
        <v>45199</v>
      </c>
      <c r="B274" s="18" t="n">
        <v>4.5</v>
      </c>
      <c r="C274" s="19" t="n">
        <v>2.94</v>
      </c>
      <c r="D274" s="12" t="n">
        <f aca="false">MONTH(A274)</f>
        <v>9</v>
      </c>
    </row>
    <row r="275" customFormat="false" ht="15" hidden="false" customHeight="false" outlineLevel="0" collapsed="false">
      <c r="A275" s="24" t="n">
        <v>45200</v>
      </c>
      <c r="B275" s="18" t="n">
        <v>0</v>
      </c>
      <c r="C275" s="19" t="n">
        <v>2.75</v>
      </c>
      <c r="D275" s="12" t="n">
        <f aca="false">MONTH(A275)</f>
        <v>10</v>
      </c>
    </row>
    <row r="276" customFormat="false" ht="15" hidden="false" customHeight="false" outlineLevel="0" collapsed="false">
      <c r="A276" s="24" t="n">
        <v>45201</v>
      </c>
      <c r="B276" s="18" t="n">
        <v>0</v>
      </c>
      <c r="C276" s="19" t="n">
        <v>2.58</v>
      </c>
      <c r="D276" s="12" t="n">
        <f aca="false">MONTH(A276)</f>
        <v>10</v>
      </c>
    </row>
    <row r="277" customFormat="false" ht="15" hidden="false" customHeight="false" outlineLevel="0" collapsed="false">
      <c r="A277" s="24" t="n">
        <v>45202</v>
      </c>
      <c r="B277" s="18" t="n">
        <v>0</v>
      </c>
      <c r="C277" s="19" t="n">
        <v>2.45</v>
      </c>
      <c r="D277" s="12" t="n">
        <f aca="false">MONTH(A277)</f>
        <v>10</v>
      </c>
    </row>
    <row r="278" customFormat="false" ht="15" hidden="false" customHeight="false" outlineLevel="0" collapsed="false">
      <c r="A278" s="24" t="n">
        <v>45203</v>
      </c>
      <c r="B278" s="18" t="n">
        <v>7</v>
      </c>
      <c r="C278" s="19" t="n">
        <v>2.36</v>
      </c>
      <c r="D278" s="12" t="n">
        <f aca="false">MONTH(A278)</f>
        <v>10</v>
      </c>
    </row>
    <row r="279" customFormat="false" ht="15" hidden="false" customHeight="false" outlineLevel="0" collapsed="false">
      <c r="A279" s="24" t="n">
        <v>45204</v>
      </c>
      <c r="B279" s="18" t="n">
        <v>0</v>
      </c>
      <c r="C279" s="19" t="n">
        <v>2.27</v>
      </c>
      <c r="D279" s="12" t="n">
        <f aca="false">MONTH(A279)</f>
        <v>10</v>
      </c>
    </row>
    <row r="280" customFormat="false" ht="15" hidden="false" customHeight="false" outlineLevel="0" collapsed="false">
      <c r="A280" s="24" t="n">
        <v>45205</v>
      </c>
      <c r="B280" s="18" t="n">
        <v>3.4</v>
      </c>
      <c r="C280" s="19" t="n">
        <v>2.19</v>
      </c>
      <c r="D280" s="12" t="n">
        <f aca="false">MONTH(A280)</f>
        <v>10</v>
      </c>
    </row>
    <row r="281" customFormat="false" ht="15" hidden="false" customHeight="false" outlineLevel="0" collapsed="false">
      <c r="A281" s="24" t="n">
        <v>45206</v>
      </c>
      <c r="B281" s="18" t="n">
        <v>0</v>
      </c>
      <c r="C281" s="19" t="n">
        <v>2.13</v>
      </c>
      <c r="D281" s="12" t="n">
        <f aca="false">MONTH(A281)</f>
        <v>10</v>
      </c>
    </row>
    <row r="282" customFormat="false" ht="15" hidden="false" customHeight="false" outlineLevel="0" collapsed="false">
      <c r="A282" s="24" t="n">
        <v>45207</v>
      </c>
      <c r="B282" s="18" t="n">
        <v>0</v>
      </c>
      <c r="C282" s="19" t="n">
        <v>2.07</v>
      </c>
      <c r="D282" s="12" t="n">
        <f aca="false">MONTH(A282)</f>
        <v>10</v>
      </c>
    </row>
    <row r="283" customFormat="false" ht="15" hidden="false" customHeight="false" outlineLevel="0" collapsed="false">
      <c r="A283" s="24" t="n">
        <v>45208</v>
      </c>
      <c r="B283" s="18" t="n">
        <v>0</v>
      </c>
      <c r="C283" s="19" t="n">
        <v>2.03</v>
      </c>
      <c r="D283" s="12" t="n">
        <f aca="false">MONTH(A283)</f>
        <v>10</v>
      </c>
    </row>
    <row r="284" customFormat="false" ht="15" hidden="false" customHeight="false" outlineLevel="0" collapsed="false">
      <c r="A284" s="24" t="n">
        <v>45209</v>
      </c>
      <c r="B284" s="18" t="n">
        <v>11.2</v>
      </c>
      <c r="C284" s="19" t="n">
        <v>2.05</v>
      </c>
      <c r="D284" s="12" t="n">
        <f aca="false">MONTH(A284)</f>
        <v>10</v>
      </c>
    </row>
    <row r="285" customFormat="false" ht="15" hidden="false" customHeight="false" outlineLevel="0" collapsed="false">
      <c r="A285" s="24" t="n">
        <v>45210</v>
      </c>
      <c r="B285" s="18" t="n">
        <v>2</v>
      </c>
      <c r="C285" s="19" t="n">
        <v>2.05</v>
      </c>
      <c r="D285" s="12" t="n">
        <f aca="false">MONTH(A285)</f>
        <v>10</v>
      </c>
    </row>
    <row r="286" customFormat="false" ht="15" hidden="false" customHeight="false" outlineLevel="0" collapsed="false">
      <c r="A286" s="24" t="n">
        <v>45211</v>
      </c>
      <c r="B286" s="18" t="n">
        <v>0</v>
      </c>
      <c r="C286" s="19" t="n">
        <v>2.03</v>
      </c>
      <c r="D286" s="12" t="n">
        <f aca="false">MONTH(A286)</f>
        <v>10</v>
      </c>
    </row>
    <row r="287" customFormat="false" ht="15" hidden="false" customHeight="false" outlineLevel="0" collapsed="false">
      <c r="A287" s="24" t="n">
        <v>45212</v>
      </c>
      <c r="B287" s="18" t="n">
        <v>0</v>
      </c>
      <c r="C287" s="19" t="n">
        <v>2</v>
      </c>
      <c r="D287" s="12" t="n">
        <f aca="false">MONTH(A287)</f>
        <v>10</v>
      </c>
    </row>
    <row r="288" customFormat="false" ht="15" hidden="false" customHeight="false" outlineLevel="0" collapsed="false">
      <c r="A288" s="24" t="n">
        <v>45213</v>
      </c>
      <c r="B288" s="18" t="n">
        <v>0</v>
      </c>
      <c r="C288" s="19" t="n">
        <v>1.98</v>
      </c>
      <c r="D288" s="12" t="n">
        <f aca="false">MONTH(A288)</f>
        <v>10</v>
      </c>
    </row>
    <row r="289" customFormat="false" ht="15" hidden="false" customHeight="false" outlineLevel="0" collapsed="false">
      <c r="A289" s="24" t="n">
        <v>45214</v>
      </c>
      <c r="B289" s="18" t="n">
        <v>0.2</v>
      </c>
      <c r="C289" s="19" t="n">
        <v>1.95</v>
      </c>
      <c r="D289" s="12" t="n">
        <f aca="false">MONTH(A289)</f>
        <v>10</v>
      </c>
    </row>
    <row r="290" customFormat="false" ht="15" hidden="false" customHeight="false" outlineLevel="0" collapsed="false">
      <c r="A290" s="24" t="n">
        <v>45215</v>
      </c>
      <c r="B290" s="18" t="n">
        <v>6.2</v>
      </c>
      <c r="C290" s="19" t="n">
        <v>1.94</v>
      </c>
      <c r="D290" s="12" t="n">
        <f aca="false">MONTH(A290)</f>
        <v>10</v>
      </c>
    </row>
    <row r="291" customFormat="false" ht="15" hidden="false" customHeight="false" outlineLevel="0" collapsed="false">
      <c r="A291" s="24" t="n">
        <v>45216</v>
      </c>
      <c r="B291" s="18" t="n">
        <v>0</v>
      </c>
      <c r="C291" s="19" t="n">
        <v>1.92</v>
      </c>
      <c r="D291" s="12" t="n">
        <f aca="false">MONTH(A291)</f>
        <v>10</v>
      </c>
    </row>
    <row r="292" customFormat="false" ht="15" hidden="false" customHeight="false" outlineLevel="0" collapsed="false">
      <c r="A292" s="24" t="n">
        <v>45217</v>
      </c>
      <c r="B292" s="18" t="n">
        <v>0</v>
      </c>
      <c r="C292" s="19" t="n">
        <v>1.91</v>
      </c>
      <c r="D292" s="12" t="n">
        <f aca="false">MONTH(A292)</f>
        <v>10</v>
      </c>
    </row>
    <row r="293" customFormat="false" ht="15" hidden="false" customHeight="false" outlineLevel="0" collapsed="false">
      <c r="A293" s="24" t="n">
        <v>45218</v>
      </c>
      <c r="B293" s="18" t="n">
        <v>61.4</v>
      </c>
      <c r="C293" s="19" t="n">
        <v>2.51</v>
      </c>
      <c r="D293" s="12" t="n">
        <f aca="false">MONTH(A293)</f>
        <v>10</v>
      </c>
    </row>
    <row r="294" customFormat="false" ht="15" hidden="false" customHeight="false" outlineLevel="0" collapsed="false">
      <c r="A294" s="24" t="n">
        <v>45219</v>
      </c>
      <c r="B294" s="18" t="n">
        <v>1.9</v>
      </c>
      <c r="C294" s="19" t="n">
        <v>2.76</v>
      </c>
      <c r="D294" s="12" t="n">
        <f aca="false">MONTH(A294)</f>
        <v>10</v>
      </c>
    </row>
    <row r="295" customFormat="false" ht="15" hidden="false" customHeight="false" outlineLevel="0" collapsed="false">
      <c r="A295" s="24" t="n">
        <v>45220</v>
      </c>
      <c r="B295" s="18" t="n">
        <v>1.1</v>
      </c>
      <c r="C295" s="19" t="n">
        <v>2.81</v>
      </c>
      <c r="D295" s="12" t="n">
        <f aca="false">MONTH(A295)</f>
        <v>10</v>
      </c>
    </row>
    <row r="296" customFormat="false" ht="15" hidden="false" customHeight="false" outlineLevel="0" collapsed="false">
      <c r="A296" s="24" t="n">
        <v>45221</v>
      </c>
      <c r="B296" s="18" t="n">
        <v>12</v>
      </c>
      <c r="C296" s="19" t="n">
        <v>2.84</v>
      </c>
      <c r="D296" s="12" t="n">
        <f aca="false">MONTH(A296)</f>
        <v>10</v>
      </c>
    </row>
    <row r="297" customFormat="false" ht="15" hidden="false" customHeight="false" outlineLevel="0" collapsed="false">
      <c r="A297" s="24" t="n">
        <v>45222</v>
      </c>
      <c r="B297" s="18" t="n">
        <v>42.3</v>
      </c>
      <c r="C297" s="19" t="n">
        <v>3.19</v>
      </c>
      <c r="D297" s="12" t="n">
        <f aca="false">MONTH(A297)</f>
        <v>10</v>
      </c>
    </row>
    <row r="298" customFormat="false" ht="15" hidden="false" customHeight="false" outlineLevel="0" collapsed="false">
      <c r="A298" s="24" t="n">
        <v>45223</v>
      </c>
      <c r="B298" s="18" t="n">
        <v>0.7</v>
      </c>
      <c r="C298" s="19" t="n">
        <v>3.26</v>
      </c>
      <c r="D298" s="12" t="n">
        <f aca="false">MONTH(A298)</f>
        <v>10</v>
      </c>
    </row>
    <row r="299" customFormat="false" ht="15" hidden="false" customHeight="false" outlineLevel="0" collapsed="false">
      <c r="A299" s="24" t="n">
        <v>45224</v>
      </c>
      <c r="B299" s="18" t="n">
        <v>2.6</v>
      </c>
      <c r="C299" s="19" t="n">
        <v>3.19</v>
      </c>
      <c r="D299" s="12" t="n">
        <f aca="false">MONTH(A299)</f>
        <v>10</v>
      </c>
    </row>
    <row r="300" customFormat="false" ht="15" hidden="false" customHeight="false" outlineLevel="0" collapsed="false">
      <c r="A300" s="24" t="n">
        <v>45225</v>
      </c>
      <c r="B300" s="18" t="n">
        <v>0</v>
      </c>
      <c r="C300" s="19" t="n">
        <v>3.06</v>
      </c>
      <c r="D300" s="12" t="n">
        <f aca="false">MONTH(A300)</f>
        <v>10</v>
      </c>
    </row>
    <row r="301" customFormat="false" ht="15" hidden="false" customHeight="false" outlineLevel="0" collapsed="false">
      <c r="A301" s="24" t="n">
        <v>45226</v>
      </c>
      <c r="B301" s="18" t="n">
        <v>0.9</v>
      </c>
      <c r="C301" s="19" t="n">
        <v>2.9</v>
      </c>
      <c r="D301" s="12" t="n">
        <f aca="false">MONTH(A301)</f>
        <v>10</v>
      </c>
    </row>
    <row r="302" customFormat="false" ht="15" hidden="false" customHeight="false" outlineLevel="0" collapsed="false">
      <c r="A302" s="24" t="n">
        <v>45227</v>
      </c>
      <c r="B302" s="18" t="n">
        <v>2.7</v>
      </c>
      <c r="C302" s="19" t="n">
        <v>2.74</v>
      </c>
      <c r="D302" s="12" t="n">
        <f aca="false">MONTH(A302)</f>
        <v>10</v>
      </c>
    </row>
    <row r="303" customFormat="false" ht="15" hidden="false" customHeight="false" outlineLevel="0" collapsed="false">
      <c r="A303" s="24" t="n">
        <v>45228</v>
      </c>
      <c r="B303" s="18" t="n">
        <v>0</v>
      </c>
      <c r="C303" s="19" t="n">
        <v>2.6</v>
      </c>
      <c r="D303" s="12" t="n">
        <f aca="false">MONTH(A303)</f>
        <v>10</v>
      </c>
    </row>
    <row r="304" customFormat="false" ht="15" hidden="false" customHeight="false" outlineLevel="0" collapsed="false">
      <c r="A304" s="24" t="n">
        <v>45229</v>
      </c>
      <c r="B304" s="18" t="n">
        <v>1.1</v>
      </c>
      <c r="C304" s="19" t="n">
        <v>2.47</v>
      </c>
      <c r="D304" s="12" t="n">
        <f aca="false">MONTH(A304)</f>
        <v>10</v>
      </c>
    </row>
    <row r="305" customFormat="false" ht="15" hidden="false" customHeight="false" outlineLevel="0" collapsed="false">
      <c r="A305" s="24" t="n">
        <v>45230</v>
      </c>
      <c r="B305" s="18" t="n">
        <v>0</v>
      </c>
      <c r="C305" s="19" t="n">
        <v>2.36</v>
      </c>
      <c r="D305" s="12" t="n">
        <f aca="false">MONTH(A305)</f>
        <v>10</v>
      </c>
    </row>
    <row r="306" customFormat="false" ht="15" hidden="false" customHeight="false" outlineLevel="0" collapsed="false">
      <c r="A306" s="24" t="n">
        <v>45231</v>
      </c>
      <c r="B306" s="18" t="n">
        <v>0</v>
      </c>
      <c r="C306" s="19" t="n">
        <v>2.26</v>
      </c>
      <c r="D306" s="12" t="n">
        <f aca="false">MONTH(A306)</f>
        <v>11</v>
      </c>
    </row>
    <row r="307" customFormat="false" ht="15" hidden="false" customHeight="false" outlineLevel="0" collapsed="false">
      <c r="A307" s="24" t="n">
        <v>45232</v>
      </c>
      <c r="B307" s="18" t="n">
        <v>0</v>
      </c>
      <c r="C307" s="19" t="n">
        <v>2.18</v>
      </c>
      <c r="D307" s="12" t="n">
        <f aca="false">MONTH(A307)</f>
        <v>11</v>
      </c>
    </row>
    <row r="308" customFormat="false" ht="15" hidden="false" customHeight="false" outlineLevel="0" collapsed="false">
      <c r="A308" s="24" t="n">
        <v>45233</v>
      </c>
      <c r="B308" s="18" t="n">
        <v>0</v>
      </c>
      <c r="C308" s="19" t="n">
        <v>2.12</v>
      </c>
      <c r="D308" s="12" t="n">
        <f aca="false">MONTH(A308)</f>
        <v>11</v>
      </c>
    </row>
    <row r="309" customFormat="false" ht="15" hidden="false" customHeight="false" outlineLevel="0" collapsed="false">
      <c r="A309" s="24" t="n">
        <v>45234</v>
      </c>
      <c r="B309" s="18" t="n">
        <v>0</v>
      </c>
      <c r="C309" s="19" t="n">
        <v>2.06</v>
      </c>
      <c r="D309" s="12" t="n">
        <f aca="false">MONTH(A309)</f>
        <v>11</v>
      </c>
    </row>
    <row r="310" customFormat="false" ht="15" hidden="false" customHeight="false" outlineLevel="0" collapsed="false">
      <c r="A310" s="24" t="n">
        <v>45235</v>
      </c>
      <c r="B310" s="18" t="n">
        <v>0</v>
      </c>
      <c r="C310" s="19" t="n">
        <v>2.01</v>
      </c>
      <c r="D310" s="12" t="n">
        <f aca="false">MONTH(A310)</f>
        <v>11</v>
      </c>
    </row>
    <row r="311" customFormat="false" ht="15" hidden="false" customHeight="false" outlineLevel="0" collapsed="false">
      <c r="A311" s="24" t="n">
        <v>45236</v>
      </c>
      <c r="B311" s="18" t="n">
        <v>0</v>
      </c>
      <c r="C311" s="19" t="n">
        <v>1.98</v>
      </c>
      <c r="D311" s="12" t="n">
        <f aca="false">MONTH(A311)</f>
        <v>11</v>
      </c>
    </row>
    <row r="312" customFormat="false" ht="15" hidden="false" customHeight="false" outlineLevel="0" collapsed="false">
      <c r="A312" s="24" t="n">
        <v>45237</v>
      </c>
      <c r="B312" s="18" t="n">
        <v>23.3</v>
      </c>
      <c r="C312" s="19" t="n">
        <v>2.15</v>
      </c>
      <c r="D312" s="12" t="n">
        <f aca="false">MONTH(A312)</f>
        <v>11</v>
      </c>
    </row>
    <row r="313" customFormat="false" ht="15" hidden="false" customHeight="false" outlineLevel="0" collapsed="false">
      <c r="A313" s="24" t="n">
        <v>45238</v>
      </c>
      <c r="B313" s="18" t="n">
        <v>0</v>
      </c>
      <c r="C313" s="19" t="n">
        <v>2.2</v>
      </c>
      <c r="D313" s="12" t="n">
        <f aca="false">MONTH(A313)</f>
        <v>11</v>
      </c>
    </row>
    <row r="314" customFormat="false" ht="15" hidden="false" customHeight="false" outlineLevel="0" collapsed="false">
      <c r="A314" s="24" t="n">
        <v>45239</v>
      </c>
      <c r="B314" s="18" t="n">
        <v>0</v>
      </c>
      <c r="C314" s="19" t="n">
        <v>2.2</v>
      </c>
      <c r="D314" s="12" t="n">
        <f aca="false">MONTH(A314)</f>
        <v>11</v>
      </c>
    </row>
    <row r="315" customFormat="false" ht="15" hidden="false" customHeight="false" outlineLevel="0" collapsed="false">
      <c r="A315" s="24" t="n">
        <v>45240</v>
      </c>
      <c r="B315" s="18" t="n">
        <v>9.1</v>
      </c>
      <c r="C315" s="19" t="n">
        <v>2.22</v>
      </c>
      <c r="D315" s="12" t="n">
        <f aca="false">MONTH(A315)</f>
        <v>11</v>
      </c>
    </row>
    <row r="316" customFormat="false" ht="15" hidden="false" customHeight="false" outlineLevel="0" collapsed="false">
      <c r="A316" s="24" t="n">
        <v>45241</v>
      </c>
      <c r="B316" s="18" t="n">
        <v>0</v>
      </c>
      <c r="C316" s="19" t="n">
        <v>2.2</v>
      </c>
      <c r="D316" s="12" t="n">
        <f aca="false">MONTH(A316)</f>
        <v>11</v>
      </c>
    </row>
    <row r="317" customFormat="false" ht="15" hidden="false" customHeight="false" outlineLevel="0" collapsed="false">
      <c r="A317" s="24" t="n">
        <v>45242</v>
      </c>
      <c r="B317" s="18" t="n">
        <v>0</v>
      </c>
      <c r="C317" s="19" t="n">
        <v>2.16</v>
      </c>
      <c r="D317" s="12" t="n">
        <f aca="false">MONTH(A317)</f>
        <v>11</v>
      </c>
    </row>
    <row r="318" customFormat="false" ht="15" hidden="false" customHeight="false" outlineLevel="0" collapsed="false">
      <c r="A318" s="24" t="n">
        <v>45243</v>
      </c>
      <c r="B318" s="18" t="n">
        <v>0</v>
      </c>
      <c r="C318" s="19" t="n">
        <v>2.11</v>
      </c>
      <c r="D318" s="12" t="n">
        <f aca="false">MONTH(A318)</f>
        <v>11</v>
      </c>
    </row>
    <row r="319" customFormat="false" ht="15" hidden="false" customHeight="false" outlineLevel="0" collapsed="false">
      <c r="A319" s="24" t="n">
        <v>45244</v>
      </c>
      <c r="B319" s="18" t="n">
        <v>0</v>
      </c>
      <c r="C319" s="19" t="n">
        <v>2.07</v>
      </c>
      <c r="D319" s="12" t="n">
        <f aca="false">MONTH(A319)</f>
        <v>11</v>
      </c>
    </row>
    <row r="320" customFormat="false" ht="15" hidden="false" customHeight="false" outlineLevel="0" collapsed="false">
      <c r="A320" s="24" t="n">
        <v>45245</v>
      </c>
      <c r="B320" s="18" t="n">
        <v>0</v>
      </c>
      <c r="C320" s="19" t="n">
        <v>2.03</v>
      </c>
      <c r="D320" s="12" t="n">
        <f aca="false">MONTH(A320)</f>
        <v>11</v>
      </c>
    </row>
    <row r="321" customFormat="false" ht="15" hidden="false" customHeight="false" outlineLevel="0" collapsed="false">
      <c r="A321" s="24" t="n">
        <v>45246</v>
      </c>
      <c r="B321" s="18" t="n">
        <v>0</v>
      </c>
      <c r="C321" s="19" t="n">
        <v>1.99</v>
      </c>
      <c r="D321" s="12" t="n">
        <f aca="false">MONTH(A321)</f>
        <v>11</v>
      </c>
    </row>
    <row r="322" customFormat="false" ht="15" hidden="false" customHeight="false" outlineLevel="0" collapsed="false">
      <c r="A322" s="24" t="n">
        <v>45247</v>
      </c>
      <c r="B322" s="18" t="n">
        <v>0</v>
      </c>
      <c r="C322" s="19" t="n">
        <v>1.96</v>
      </c>
      <c r="D322" s="12" t="n">
        <f aca="false">MONTH(A322)</f>
        <v>11</v>
      </c>
    </row>
    <row r="323" customFormat="false" ht="15" hidden="false" customHeight="false" outlineLevel="0" collapsed="false">
      <c r="A323" s="24" t="n">
        <v>45248</v>
      </c>
      <c r="B323" s="18" t="n">
        <v>0</v>
      </c>
      <c r="C323" s="19" t="n">
        <v>1.93</v>
      </c>
      <c r="D323" s="12" t="n">
        <f aca="false">MONTH(A323)</f>
        <v>11</v>
      </c>
    </row>
    <row r="324" customFormat="false" ht="15" hidden="false" customHeight="false" outlineLevel="0" collapsed="false">
      <c r="A324" s="24" t="n">
        <v>45249</v>
      </c>
      <c r="B324" s="18" t="n">
        <v>6</v>
      </c>
      <c r="C324" s="19" t="n">
        <v>1.92</v>
      </c>
      <c r="D324" s="12" t="n">
        <f aca="false">MONTH(A324)</f>
        <v>11</v>
      </c>
    </row>
    <row r="325" customFormat="false" ht="15" hidden="false" customHeight="false" outlineLevel="0" collapsed="false">
      <c r="A325" s="24" t="n">
        <v>45250</v>
      </c>
      <c r="B325" s="18" t="n">
        <v>0</v>
      </c>
      <c r="C325" s="19" t="n">
        <v>1.91</v>
      </c>
      <c r="D325" s="12" t="n">
        <f aca="false">MONTH(A325)</f>
        <v>11</v>
      </c>
    </row>
    <row r="326" customFormat="false" ht="15" hidden="false" customHeight="false" outlineLevel="0" collapsed="false">
      <c r="A326" s="24" t="n">
        <v>45251</v>
      </c>
      <c r="B326" s="18" t="n">
        <v>0</v>
      </c>
      <c r="C326" s="19" t="n">
        <v>1.89</v>
      </c>
      <c r="D326" s="12" t="n">
        <f aca="false">MONTH(A326)</f>
        <v>11</v>
      </c>
    </row>
    <row r="327" customFormat="false" ht="15" hidden="false" customHeight="false" outlineLevel="0" collapsed="false">
      <c r="A327" s="24" t="n">
        <v>45252</v>
      </c>
      <c r="B327" s="18" t="n">
        <v>0</v>
      </c>
      <c r="C327" s="19" t="n">
        <v>1.88</v>
      </c>
      <c r="D327" s="12" t="n">
        <f aca="false">MONTH(A327)</f>
        <v>11</v>
      </c>
    </row>
    <row r="328" customFormat="false" ht="15" hidden="false" customHeight="false" outlineLevel="0" collapsed="false">
      <c r="A328" s="24" t="n">
        <v>45253</v>
      </c>
      <c r="B328" s="18" t="n">
        <v>33.6</v>
      </c>
      <c r="C328" s="19" t="n">
        <v>2.18</v>
      </c>
      <c r="D328" s="12" t="n">
        <f aca="false">MONTH(A328)</f>
        <v>11</v>
      </c>
    </row>
    <row r="329" customFormat="false" ht="15" hidden="false" customHeight="false" outlineLevel="0" collapsed="false">
      <c r="A329" s="24" t="n">
        <v>45254</v>
      </c>
      <c r="B329" s="18" t="n">
        <v>0</v>
      </c>
      <c r="C329" s="19" t="n">
        <v>2.3</v>
      </c>
      <c r="D329" s="12" t="n">
        <f aca="false">MONTH(A329)</f>
        <v>11</v>
      </c>
    </row>
    <row r="330" customFormat="false" ht="15" hidden="false" customHeight="false" outlineLevel="0" collapsed="false">
      <c r="A330" s="24" t="n">
        <v>45255</v>
      </c>
      <c r="B330" s="18" t="n">
        <v>18.6</v>
      </c>
      <c r="C330" s="19" t="n">
        <v>2.47</v>
      </c>
      <c r="D330" s="12" t="n">
        <f aca="false">MONTH(A330)</f>
        <v>11</v>
      </c>
    </row>
    <row r="331" customFormat="false" ht="15" hidden="false" customHeight="false" outlineLevel="0" collapsed="false">
      <c r="A331" s="24" t="n">
        <v>45256</v>
      </c>
      <c r="B331" s="18" t="n">
        <v>0</v>
      </c>
      <c r="C331" s="19" t="n">
        <v>2.51</v>
      </c>
      <c r="D331" s="12" t="n">
        <f aca="false">MONTH(A331)</f>
        <v>11</v>
      </c>
    </row>
    <row r="332" customFormat="false" ht="15" hidden="false" customHeight="false" outlineLevel="0" collapsed="false">
      <c r="A332" s="24" t="n">
        <v>45257</v>
      </c>
      <c r="B332" s="18" t="n">
        <v>0</v>
      </c>
      <c r="C332" s="19" t="n">
        <v>2.48</v>
      </c>
      <c r="D332" s="12" t="n">
        <f aca="false">MONTH(A332)</f>
        <v>11</v>
      </c>
    </row>
    <row r="333" customFormat="false" ht="15" hidden="false" customHeight="false" outlineLevel="0" collapsed="false">
      <c r="A333" s="24" t="n">
        <v>45258</v>
      </c>
      <c r="B333" s="18" t="n">
        <v>0.7</v>
      </c>
      <c r="C333" s="19" t="n">
        <v>2.41</v>
      </c>
      <c r="D333" s="12" t="n">
        <f aca="false">MONTH(A333)</f>
        <v>11</v>
      </c>
    </row>
    <row r="334" customFormat="false" ht="15" hidden="false" customHeight="false" outlineLevel="0" collapsed="false">
      <c r="A334" s="24" t="n">
        <v>45259</v>
      </c>
      <c r="B334" s="18" t="n">
        <v>0</v>
      </c>
      <c r="C334" s="19" t="n">
        <v>2.34</v>
      </c>
      <c r="D334" s="12" t="n">
        <f aca="false">MONTH(A334)</f>
        <v>11</v>
      </c>
    </row>
    <row r="335" customFormat="false" ht="15" hidden="false" customHeight="false" outlineLevel="0" collapsed="false">
      <c r="A335" s="24" t="n">
        <v>45260</v>
      </c>
      <c r="B335" s="18" t="n">
        <v>0</v>
      </c>
      <c r="C335" s="19" t="n">
        <v>2.26</v>
      </c>
      <c r="D335" s="12" t="n">
        <f aca="false">MONTH(A335)</f>
        <v>11</v>
      </c>
    </row>
    <row r="336" customFormat="false" ht="15" hidden="false" customHeight="false" outlineLevel="0" collapsed="false">
      <c r="A336" s="24" t="n">
        <v>45261</v>
      </c>
      <c r="B336" s="18" t="n">
        <v>4.8</v>
      </c>
      <c r="C336" s="19" t="n">
        <v>2.19</v>
      </c>
      <c r="D336" s="12" t="n">
        <f aca="false">MONTH(A336)</f>
        <v>12</v>
      </c>
    </row>
    <row r="337" customFormat="false" ht="15" hidden="false" customHeight="false" outlineLevel="0" collapsed="false">
      <c r="A337" s="24" t="n">
        <v>45262</v>
      </c>
      <c r="B337" s="18" t="n">
        <v>0</v>
      </c>
      <c r="C337" s="19" t="n">
        <v>2.13</v>
      </c>
      <c r="D337" s="12" t="n">
        <f aca="false">MONTH(A337)</f>
        <v>12</v>
      </c>
    </row>
    <row r="338" customFormat="false" ht="15" hidden="false" customHeight="false" outlineLevel="0" collapsed="false">
      <c r="A338" s="24" t="n">
        <v>45263</v>
      </c>
      <c r="B338" s="18" t="n">
        <v>0</v>
      </c>
      <c r="C338" s="19" t="n">
        <v>2.07</v>
      </c>
      <c r="D338" s="12" t="n">
        <f aca="false">MONTH(A338)</f>
        <v>12</v>
      </c>
    </row>
    <row r="339" customFormat="false" ht="15" hidden="false" customHeight="false" outlineLevel="0" collapsed="false">
      <c r="A339" s="24" t="n">
        <v>45264</v>
      </c>
      <c r="B339" s="18" t="n">
        <v>0</v>
      </c>
      <c r="C339" s="19" t="n">
        <v>2.03</v>
      </c>
      <c r="D339" s="12" t="n">
        <f aca="false">MONTH(A339)</f>
        <v>12</v>
      </c>
    </row>
    <row r="340" customFormat="false" ht="15" hidden="false" customHeight="false" outlineLevel="0" collapsed="false">
      <c r="A340" s="24" t="n">
        <v>45265</v>
      </c>
      <c r="B340" s="18" t="n">
        <v>0.6</v>
      </c>
      <c r="C340" s="19" t="n">
        <v>1.99</v>
      </c>
      <c r="D340" s="12" t="n">
        <f aca="false">MONTH(A340)</f>
        <v>12</v>
      </c>
    </row>
    <row r="341" customFormat="false" ht="15" hidden="false" customHeight="false" outlineLevel="0" collapsed="false">
      <c r="A341" s="24" t="n">
        <v>45266</v>
      </c>
      <c r="B341" s="18" t="n">
        <v>0</v>
      </c>
      <c r="C341" s="19" t="n">
        <v>1.95</v>
      </c>
      <c r="D341" s="12" t="n">
        <f aca="false">MONTH(A341)</f>
        <v>12</v>
      </c>
    </row>
    <row r="342" customFormat="false" ht="15" hidden="false" customHeight="false" outlineLevel="0" collapsed="false">
      <c r="A342" s="24" t="n">
        <v>45267</v>
      </c>
      <c r="B342" s="18" t="n">
        <v>0</v>
      </c>
      <c r="C342" s="19" t="n">
        <v>1.93</v>
      </c>
      <c r="D342" s="12" t="n">
        <f aca="false">MONTH(A342)</f>
        <v>12</v>
      </c>
    </row>
    <row r="343" customFormat="false" ht="15" hidden="false" customHeight="false" outlineLevel="0" collapsed="false">
      <c r="A343" s="24" t="n">
        <v>45268</v>
      </c>
      <c r="B343" s="18" t="n">
        <v>0</v>
      </c>
      <c r="C343" s="19" t="n">
        <v>1.9</v>
      </c>
      <c r="D343" s="12" t="n">
        <f aca="false">MONTH(A343)</f>
        <v>12</v>
      </c>
    </row>
    <row r="344" customFormat="false" ht="15" hidden="false" customHeight="false" outlineLevel="0" collapsed="false">
      <c r="A344" s="24" t="n">
        <v>45269</v>
      </c>
      <c r="B344" s="18" t="n">
        <v>0</v>
      </c>
      <c r="C344" s="19" t="n">
        <v>1.89</v>
      </c>
      <c r="D344" s="12" t="n">
        <f aca="false">MONTH(A344)</f>
        <v>12</v>
      </c>
    </row>
    <row r="345" customFormat="false" ht="15" hidden="false" customHeight="false" outlineLevel="0" collapsed="false">
      <c r="A345" s="24" t="n">
        <v>45270</v>
      </c>
      <c r="B345" s="18" t="n">
        <v>0</v>
      </c>
      <c r="C345" s="19" t="n">
        <v>1.87</v>
      </c>
      <c r="D345" s="12" t="n">
        <f aca="false">MONTH(A345)</f>
        <v>12</v>
      </c>
    </row>
    <row r="346" customFormat="false" ht="15" hidden="false" customHeight="false" outlineLevel="0" collapsed="false">
      <c r="A346" s="24" t="n">
        <v>45271</v>
      </c>
      <c r="B346" s="18" t="n">
        <v>0</v>
      </c>
      <c r="C346" s="19" t="n">
        <v>1.86</v>
      </c>
      <c r="D346" s="12" t="n">
        <f aca="false">MONTH(A346)</f>
        <v>12</v>
      </c>
    </row>
    <row r="347" customFormat="false" ht="15" hidden="false" customHeight="false" outlineLevel="0" collapsed="false">
      <c r="A347" s="24" t="n">
        <v>45272</v>
      </c>
      <c r="B347" s="18" t="n">
        <v>0</v>
      </c>
      <c r="C347" s="19" t="n">
        <v>1.85</v>
      </c>
      <c r="D347" s="12" t="n">
        <f aca="false">MONTH(A347)</f>
        <v>12</v>
      </c>
    </row>
    <row r="348" customFormat="false" ht="15" hidden="false" customHeight="false" outlineLevel="0" collapsed="false">
      <c r="A348" s="24" t="n">
        <v>45273</v>
      </c>
      <c r="B348" s="18" t="n">
        <v>0</v>
      </c>
      <c r="C348" s="19" t="n">
        <v>1.84</v>
      </c>
      <c r="D348" s="12" t="n">
        <f aca="false">MONTH(A348)</f>
        <v>12</v>
      </c>
    </row>
    <row r="349" customFormat="false" ht="15" hidden="false" customHeight="false" outlineLevel="0" collapsed="false">
      <c r="A349" s="24" t="n">
        <v>45274</v>
      </c>
      <c r="B349" s="18" t="n">
        <v>0</v>
      </c>
      <c r="C349" s="19" t="n">
        <v>1.83</v>
      </c>
      <c r="D349" s="12" t="n">
        <f aca="false">MONTH(A349)</f>
        <v>12</v>
      </c>
    </row>
    <row r="350" customFormat="false" ht="15" hidden="false" customHeight="false" outlineLevel="0" collapsed="false">
      <c r="A350" s="24" t="n">
        <v>45275</v>
      </c>
      <c r="B350" s="18" t="n">
        <v>0</v>
      </c>
      <c r="C350" s="19" t="n">
        <v>1.83</v>
      </c>
      <c r="D350" s="12" t="n">
        <f aca="false">MONTH(A350)</f>
        <v>12</v>
      </c>
    </row>
    <row r="351" customFormat="false" ht="15" hidden="false" customHeight="false" outlineLevel="0" collapsed="false">
      <c r="A351" s="24" t="n">
        <v>45276</v>
      </c>
      <c r="B351" s="18" t="n">
        <v>0</v>
      </c>
      <c r="C351" s="19" t="n">
        <v>1.82</v>
      </c>
      <c r="D351" s="12" t="n">
        <f aca="false">MONTH(A351)</f>
        <v>12</v>
      </c>
    </row>
    <row r="352" customFormat="false" ht="15" hidden="false" customHeight="false" outlineLevel="0" collapsed="false">
      <c r="A352" s="24" t="n">
        <v>45277</v>
      </c>
      <c r="B352" s="18" t="n">
        <v>0.1</v>
      </c>
      <c r="C352" s="19" t="n">
        <v>1.82</v>
      </c>
      <c r="D352" s="12" t="n">
        <f aca="false">MONTH(A352)</f>
        <v>12</v>
      </c>
    </row>
    <row r="353" customFormat="false" ht="15" hidden="false" customHeight="false" outlineLevel="0" collapsed="false">
      <c r="A353" s="24" t="n">
        <v>45278</v>
      </c>
      <c r="B353" s="18" t="n">
        <v>0</v>
      </c>
      <c r="C353" s="19" t="n">
        <v>1.81</v>
      </c>
      <c r="D353" s="12" t="n">
        <f aca="false">MONTH(A353)</f>
        <v>12</v>
      </c>
    </row>
    <row r="354" customFormat="false" ht="15" hidden="false" customHeight="false" outlineLevel="0" collapsed="false">
      <c r="A354" s="24" t="n">
        <v>45279</v>
      </c>
      <c r="B354" s="18" t="n">
        <v>0</v>
      </c>
      <c r="C354" s="19" t="n">
        <v>1.81</v>
      </c>
      <c r="D354" s="12" t="n">
        <f aca="false">MONTH(A354)</f>
        <v>12</v>
      </c>
    </row>
    <row r="355" customFormat="false" ht="15" hidden="false" customHeight="false" outlineLevel="0" collapsed="false">
      <c r="A355" s="24" t="n">
        <v>45280</v>
      </c>
      <c r="B355" s="18" t="n">
        <v>0</v>
      </c>
      <c r="C355" s="19" t="n">
        <v>1.81</v>
      </c>
      <c r="D355" s="12" t="n">
        <f aca="false">MONTH(A355)</f>
        <v>12</v>
      </c>
    </row>
    <row r="356" customFormat="false" ht="15" hidden="false" customHeight="false" outlineLevel="0" collapsed="false">
      <c r="A356" s="24" t="n">
        <v>45281</v>
      </c>
      <c r="B356" s="18" t="n">
        <v>0</v>
      </c>
      <c r="C356" s="19" t="n">
        <v>1.81</v>
      </c>
      <c r="D356" s="12" t="n">
        <f aca="false">MONTH(A356)</f>
        <v>12</v>
      </c>
    </row>
    <row r="357" customFormat="false" ht="15" hidden="false" customHeight="false" outlineLevel="0" collapsed="false">
      <c r="A357" s="24" t="n">
        <v>45282</v>
      </c>
      <c r="B357" s="18" t="n">
        <v>0</v>
      </c>
      <c r="C357" s="19" t="n">
        <v>1.81</v>
      </c>
      <c r="D357" s="12" t="n">
        <f aca="false">MONTH(A357)</f>
        <v>12</v>
      </c>
    </row>
    <row r="358" customFormat="false" ht="15" hidden="false" customHeight="false" outlineLevel="0" collapsed="false">
      <c r="A358" s="24" t="n">
        <v>45283</v>
      </c>
      <c r="B358" s="18" t="n">
        <v>0</v>
      </c>
      <c r="C358" s="19" t="n">
        <v>1.81</v>
      </c>
      <c r="D358" s="12" t="n">
        <f aca="false">MONTH(A358)</f>
        <v>12</v>
      </c>
    </row>
    <row r="359" customFormat="false" ht="15" hidden="false" customHeight="false" outlineLevel="0" collapsed="false">
      <c r="A359" s="24" t="n">
        <v>45284</v>
      </c>
      <c r="B359" s="18" t="n">
        <v>0</v>
      </c>
      <c r="C359" s="19" t="n">
        <v>1.8</v>
      </c>
      <c r="D359" s="12" t="n">
        <f aca="false">MONTH(A359)</f>
        <v>12</v>
      </c>
    </row>
    <row r="360" customFormat="false" ht="15" hidden="false" customHeight="false" outlineLevel="0" collapsed="false">
      <c r="A360" s="24" t="n">
        <v>45285</v>
      </c>
      <c r="B360" s="18" t="n">
        <v>0</v>
      </c>
      <c r="C360" s="19" t="n">
        <v>1.8</v>
      </c>
      <c r="D360" s="12" t="n">
        <f aca="false">MONTH(A360)</f>
        <v>12</v>
      </c>
    </row>
    <row r="361" customFormat="false" ht="15" hidden="false" customHeight="false" outlineLevel="0" collapsed="false">
      <c r="A361" s="24" t="n">
        <v>45286</v>
      </c>
      <c r="B361" s="18" t="n">
        <v>0</v>
      </c>
      <c r="C361" s="19" t="n">
        <v>1.8</v>
      </c>
      <c r="D361" s="12" t="n">
        <f aca="false">MONTH(A361)</f>
        <v>12</v>
      </c>
    </row>
    <row r="362" customFormat="false" ht="15" hidden="false" customHeight="false" outlineLevel="0" collapsed="false">
      <c r="A362" s="24" t="n">
        <v>45287</v>
      </c>
      <c r="B362" s="18" t="n">
        <v>0</v>
      </c>
      <c r="C362" s="19" t="n">
        <v>1.8</v>
      </c>
      <c r="D362" s="12" t="n">
        <f aca="false">MONTH(A362)</f>
        <v>12</v>
      </c>
    </row>
    <row r="363" customFormat="false" ht="15" hidden="false" customHeight="false" outlineLevel="0" collapsed="false">
      <c r="A363" s="24" t="n">
        <v>45288</v>
      </c>
      <c r="B363" s="18" t="n">
        <v>3.2</v>
      </c>
      <c r="C363" s="19" t="n">
        <v>1.8</v>
      </c>
      <c r="D363" s="12" t="n">
        <f aca="false">MONTH(A363)</f>
        <v>12</v>
      </c>
    </row>
    <row r="364" customFormat="false" ht="15" hidden="false" customHeight="false" outlineLevel="0" collapsed="false">
      <c r="A364" s="24" t="n">
        <v>45289</v>
      </c>
      <c r="B364" s="18" t="n">
        <v>2.4</v>
      </c>
      <c r="C364" s="19" t="n">
        <v>1.8</v>
      </c>
      <c r="D364" s="12" t="n">
        <f aca="false">MONTH(A364)</f>
        <v>12</v>
      </c>
    </row>
    <row r="365" customFormat="false" ht="15" hidden="false" customHeight="false" outlineLevel="0" collapsed="false">
      <c r="A365" s="24" t="n">
        <v>45290</v>
      </c>
      <c r="B365" s="18" t="n">
        <v>0</v>
      </c>
      <c r="C365" s="19" t="n">
        <v>1.8</v>
      </c>
      <c r="D365" s="12" t="n">
        <f aca="false">MONTH(A365)</f>
        <v>12</v>
      </c>
    </row>
    <row r="366" customFormat="false" ht="15" hidden="false" customHeight="false" outlineLevel="0" collapsed="false">
      <c r="A366" s="24" t="n">
        <v>45291</v>
      </c>
      <c r="B366" s="18" t="n">
        <v>0</v>
      </c>
      <c r="C366" s="19" t="n">
        <v>1.8</v>
      </c>
      <c r="D366" s="12" t="n">
        <f aca="false">MONTH(A366)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2026-10-06T20:32:46Z</dcterms:created>
  <dc:creator>openpyxl</dc:creator>
  <dc:description/>
  <dc:language>en-US</dc:language>
  <cp:lastModifiedBy/>
  <dcterms:modified xsi:type="dcterms:W3CDTF">2026-10-07T02:02:49Z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